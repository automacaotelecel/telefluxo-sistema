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24226"/>
  <mc:AlternateContent xmlns:mc="http://schemas.openxmlformats.org/markup-compatibility/2006">
    <mc:Choice Requires="x15">
      <x15ac:absPath xmlns:x15ac="http://schemas.microsoft.com/office/spreadsheetml/2010/11/ac" url="Z:\00.SAMSUNG\1.CLARO\00.TABELA DE PREÇO\2026\LOJA\"/>
    </mc:Choice>
  </mc:AlternateContent>
  <xr:revisionPtr revIDLastSave="0" documentId="13_ncr:1_{9AA8ADB2-F785-4633-95BA-903B065E2B8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ELA DE SUBSÍDIO CLARO" sheetId="17" r:id="rId1"/>
    <sheet name="conferencia " sheetId="18" state="hidden" r:id="rId2"/>
  </sheets>
  <definedNames>
    <definedName name="_xlnm._FilterDatabase" localSheetId="1" hidden="1">'conferencia '!$A$1:$L$30</definedName>
    <definedName name="_xlnm._FilterDatabase" localSheetId="0" hidden="1">'TABELA DE SUBSÍDIO CLARO'!$C$7:$S$44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7" l="1"/>
  <c r="K11" i="17" s="1"/>
  <c r="L11" i="17"/>
  <c r="M11" i="17" s="1"/>
  <c r="N11" i="17"/>
  <c r="O11" i="17" s="1"/>
  <c r="P11" i="17"/>
  <c r="Q11" i="17" s="1"/>
  <c r="R11" i="17"/>
  <c r="S11" i="17" s="1"/>
  <c r="J12" i="17"/>
  <c r="K12" i="17" s="1"/>
  <c r="L12" i="17"/>
  <c r="M12" i="17" s="1"/>
  <c r="N12" i="17"/>
  <c r="O12" i="17" s="1"/>
  <c r="P12" i="17"/>
  <c r="Q12" i="17" s="1"/>
  <c r="R12" i="17"/>
  <c r="S12" i="17" s="1"/>
  <c r="J13" i="17"/>
  <c r="K13" i="17" s="1"/>
  <c r="L13" i="17"/>
  <c r="M13" i="17" s="1"/>
  <c r="N13" i="17"/>
  <c r="O13" i="17" s="1"/>
  <c r="P13" i="17"/>
  <c r="Q13" i="17" s="1"/>
  <c r="R13" i="17"/>
  <c r="S13" i="17" s="1"/>
  <c r="J14" i="17"/>
  <c r="K14" i="17" s="1"/>
  <c r="L14" i="17"/>
  <c r="M14" i="17" s="1"/>
  <c r="N14" i="17"/>
  <c r="O14" i="17" s="1"/>
  <c r="P14" i="17"/>
  <c r="Q14" i="17" s="1"/>
  <c r="R14" i="17"/>
  <c r="S14" i="17" s="1"/>
  <c r="J15" i="17"/>
  <c r="K15" i="17" s="1"/>
  <c r="L15" i="17"/>
  <c r="M15" i="17" s="1"/>
  <c r="N15" i="17"/>
  <c r="O15" i="17" s="1"/>
  <c r="P15" i="17"/>
  <c r="Q15" i="17" s="1"/>
  <c r="R15" i="17"/>
  <c r="S15" i="17" s="1"/>
  <c r="J16" i="17"/>
  <c r="K16" i="17" s="1"/>
  <c r="L16" i="17"/>
  <c r="M16" i="17" s="1"/>
  <c r="N16" i="17"/>
  <c r="O16" i="17" s="1"/>
  <c r="P16" i="17"/>
  <c r="Q16" i="17" s="1"/>
  <c r="R16" i="17"/>
  <c r="S16" i="17" s="1"/>
  <c r="J17" i="17"/>
  <c r="K17" i="17" s="1"/>
  <c r="L17" i="17"/>
  <c r="M17" i="17" s="1"/>
  <c r="N17" i="17"/>
  <c r="O17" i="17" s="1"/>
  <c r="P17" i="17"/>
  <c r="Q17" i="17" s="1"/>
  <c r="R17" i="17"/>
  <c r="S17" i="17" s="1"/>
  <c r="J18" i="17"/>
  <c r="K18" i="17" s="1"/>
  <c r="L18" i="17"/>
  <c r="M18" i="17" s="1"/>
  <c r="N18" i="17"/>
  <c r="O18" i="17" s="1"/>
  <c r="P18" i="17"/>
  <c r="Q18" i="17" s="1"/>
  <c r="R18" i="17"/>
  <c r="S18" i="17" s="1"/>
  <c r="J19" i="17"/>
  <c r="K19" i="17" s="1"/>
  <c r="L19" i="17"/>
  <c r="M19" i="17" s="1"/>
  <c r="N19" i="17"/>
  <c r="O19" i="17" s="1"/>
  <c r="P19" i="17"/>
  <c r="Q19" i="17" s="1"/>
  <c r="R19" i="17"/>
  <c r="S19" i="17" s="1"/>
  <c r="J20" i="17"/>
  <c r="K20" i="17" s="1"/>
  <c r="L20" i="17"/>
  <c r="M20" i="17" s="1"/>
  <c r="N20" i="17"/>
  <c r="O20" i="17" s="1"/>
  <c r="P20" i="17"/>
  <c r="Q20" i="17" s="1"/>
  <c r="R20" i="17"/>
  <c r="S20" i="17" s="1"/>
  <c r="J21" i="17"/>
  <c r="K21" i="17" s="1"/>
  <c r="L21" i="17"/>
  <c r="M21" i="17" s="1"/>
  <c r="N21" i="17"/>
  <c r="O21" i="17" s="1"/>
  <c r="P21" i="17"/>
  <c r="Q21" i="17" s="1"/>
  <c r="R21" i="17"/>
  <c r="S21" i="17" s="1"/>
  <c r="J22" i="17"/>
  <c r="K22" i="17" s="1"/>
  <c r="L22" i="17"/>
  <c r="M22" i="17" s="1"/>
  <c r="N22" i="17"/>
  <c r="O22" i="17" s="1"/>
  <c r="P22" i="17"/>
  <c r="Q22" i="17" s="1"/>
  <c r="R22" i="17"/>
  <c r="S22" i="17" s="1"/>
  <c r="J23" i="17"/>
  <c r="K23" i="17" s="1"/>
  <c r="L23" i="17"/>
  <c r="M23" i="17" s="1"/>
  <c r="N23" i="17"/>
  <c r="O23" i="17" s="1"/>
  <c r="P23" i="17"/>
  <c r="Q23" i="17" s="1"/>
  <c r="R23" i="17"/>
  <c r="S23" i="17" s="1"/>
  <c r="J24" i="17"/>
  <c r="K24" i="17" s="1"/>
  <c r="L24" i="17"/>
  <c r="M24" i="17" s="1"/>
  <c r="N24" i="17"/>
  <c r="O24" i="17" s="1"/>
  <c r="P24" i="17"/>
  <c r="Q24" i="17" s="1"/>
  <c r="R24" i="17"/>
  <c r="S24" i="17" s="1"/>
  <c r="J25" i="17"/>
  <c r="K25" i="17" s="1"/>
  <c r="L25" i="17"/>
  <c r="M25" i="17" s="1"/>
  <c r="N25" i="17"/>
  <c r="O25" i="17" s="1"/>
  <c r="P25" i="17"/>
  <c r="Q25" i="17" s="1"/>
  <c r="R25" i="17"/>
  <c r="S25" i="17" s="1"/>
  <c r="J26" i="17"/>
  <c r="K26" i="17" s="1"/>
  <c r="L26" i="17"/>
  <c r="M26" i="17" s="1"/>
  <c r="N26" i="17"/>
  <c r="O26" i="17" s="1"/>
  <c r="P26" i="17"/>
  <c r="Q26" i="17" s="1"/>
  <c r="R26" i="17"/>
  <c r="S26" i="17" s="1"/>
  <c r="J27" i="17"/>
  <c r="K27" i="17" s="1"/>
  <c r="L27" i="17"/>
  <c r="M27" i="17" s="1"/>
  <c r="N27" i="17"/>
  <c r="O27" i="17" s="1"/>
  <c r="P27" i="17"/>
  <c r="Q27" i="17" s="1"/>
  <c r="R27" i="17"/>
  <c r="S27" i="17" s="1"/>
  <c r="J28" i="17"/>
  <c r="K28" i="17" s="1"/>
  <c r="L28" i="17"/>
  <c r="M28" i="17" s="1"/>
  <c r="N28" i="17"/>
  <c r="O28" i="17" s="1"/>
  <c r="P28" i="17"/>
  <c r="Q28" i="17" s="1"/>
  <c r="R28" i="17"/>
  <c r="S28" i="17" s="1"/>
  <c r="J29" i="17"/>
  <c r="K29" i="17" s="1"/>
  <c r="L29" i="17"/>
  <c r="M29" i="17" s="1"/>
  <c r="N29" i="17"/>
  <c r="O29" i="17" s="1"/>
  <c r="P29" i="17"/>
  <c r="Q29" i="17" s="1"/>
  <c r="R29" i="17"/>
  <c r="S29" i="17" s="1"/>
  <c r="J30" i="17"/>
  <c r="K30" i="17" s="1"/>
  <c r="L30" i="17"/>
  <c r="M30" i="17" s="1"/>
  <c r="N30" i="17"/>
  <c r="O30" i="17" s="1"/>
  <c r="P30" i="17"/>
  <c r="Q30" i="17" s="1"/>
  <c r="R30" i="17"/>
  <c r="S30" i="17" s="1"/>
  <c r="J31" i="17"/>
  <c r="K31" i="17" s="1"/>
  <c r="L31" i="17"/>
  <c r="M31" i="17" s="1"/>
  <c r="N31" i="17"/>
  <c r="O31" i="17" s="1"/>
  <c r="P31" i="17"/>
  <c r="Q31" i="17" s="1"/>
  <c r="R31" i="17"/>
  <c r="S31" i="17" s="1"/>
  <c r="J41" i="17"/>
  <c r="K41" i="17" s="1"/>
  <c r="L41" i="17"/>
  <c r="M41" i="17" s="1"/>
  <c r="N41" i="17"/>
  <c r="O41" i="17" s="1"/>
  <c r="P41" i="17"/>
  <c r="Q41" i="17" s="1"/>
  <c r="R41" i="17"/>
  <c r="S41" i="17" s="1"/>
  <c r="J42" i="17"/>
  <c r="K42" i="17" s="1"/>
  <c r="L42" i="17"/>
  <c r="M42" i="17" s="1"/>
  <c r="N42" i="17"/>
  <c r="O42" i="17" s="1"/>
  <c r="P42" i="17"/>
  <c r="Q42" i="17" s="1"/>
  <c r="R42" i="17"/>
  <c r="S42" i="17" s="1"/>
  <c r="J43" i="17"/>
  <c r="K43" i="17" s="1"/>
  <c r="L43" i="17"/>
  <c r="M43" i="17" s="1"/>
  <c r="N43" i="17"/>
  <c r="O43" i="17" s="1"/>
  <c r="P43" i="17"/>
  <c r="Q43" i="17" s="1"/>
  <c r="R43" i="17"/>
  <c r="S43" i="17" s="1"/>
  <c r="J40" i="17"/>
  <c r="K40" i="17" s="1"/>
  <c r="L40" i="17"/>
  <c r="M40" i="17" s="1"/>
  <c r="N40" i="17"/>
  <c r="O40" i="17" s="1"/>
  <c r="P40" i="17"/>
  <c r="Q40" i="17" s="1"/>
  <c r="R40" i="17"/>
  <c r="S40" i="17" s="1"/>
  <c r="J44" i="17"/>
  <c r="K44" i="17" s="1"/>
  <c r="L44" i="17"/>
  <c r="M44" i="17" s="1"/>
  <c r="N44" i="17"/>
  <c r="O44" i="17" s="1"/>
  <c r="P44" i="17"/>
  <c r="Q44" i="17" s="1"/>
  <c r="R44" i="17"/>
  <c r="S44" i="17" s="1"/>
  <c r="R8" i="17"/>
  <c r="S8" i="17" s="1"/>
  <c r="P8" i="17"/>
  <c r="Q8" i="17" s="1"/>
  <c r="N8" i="17"/>
  <c r="O8" i="17" s="1"/>
  <c r="L8" i="17"/>
  <c r="M8" i="17" s="1"/>
  <c r="J8" i="17"/>
  <c r="K8" i="17" s="1"/>
  <c r="J36" i="17" l="1"/>
  <c r="K36" i="17" s="1"/>
  <c r="L36" i="17"/>
  <c r="M36" i="17" s="1"/>
  <c r="N36" i="17"/>
  <c r="O36" i="17" s="1"/>
  <c r="P36" i="17"/>
  <c r="Q36" i="17" s="1"/>
  <c r="R36" i="17"/>
  <c r="S36" i="17" s="1"/>
  <c r="J32" i="17"/>
  <c r="K32" i="17" s="1"/>
  <c r="L32" i="17"/>
  <c r="M32" i="17" s="1"/>
  <c r="N32" i="17"/>
  <c r="O32" i="17" s="1"/>
  <c r="P32" i="17"/>
  <c r="Q32" i="17" s="1"/>
  <c r="R32" i="17"/>
  <c r="S32" i="17" s="1"/>
  <c r="J33" i="17"/>
  <c r="K33" i="17" s="1"/>
  <c r="L33" i="17"/>
  <c r="M33" i="17" s="1"/>
  <c r="N33" i="17"/>
  <c r="O33" i="17" s="1"/>
  <c r="P33" i="17"/>
  <c r="Q33" i="17" s="1"/>
  <c r="R33" i="17"/>
  <c r="S33" i="17" s="1"/>
  <c r="J34" i="17"/>
  <c r="K34" i="17" s="1"/>
  <c r="L34" i="17"/>
  <c r="M34" i="17" s="1"/>
  <c r="N34" i="17"/>
  <c r="O34" i="17" s="1"/>
  <c r="P34" i="17"/>
  <c r="Q34" i="17" s="1"/>
  <c r="R34" i="17"/>
  <c r="S34" i="17" s="1"/>
  <c r="J35" i="17"/>
  <c r="K35" i="17" s="1"/>
  <c r="L35" i="17"/>
  <c r="M35" i="17" s="1"/>
  <c r="N35" i="17"/>
  <c r="O35" i="17" s="1"/>
  <c r="P35" i="17"/>
  <c r="Q35" i="17" s="1"/>
  <c r="R35" i="17"/>
  <c r="S35" i="17" s="1"/>
  <c r="J10" i="17"/>
  <c r="K10" i="17" s="1"/>
  <c r="L10" i="17"/>
  <c r="M10" i="17" s="1"/>
  <c r="N10" i="17"/>
  <c r="O10" i="17" s="1"/>
  <c r="P10" i="17"/>
  <c r="Q10" i="17" s="1"/>
  <c r="R10" i="17"/>
  <c r="S10" i="17" s="1"/>
  <c r="J37" i="17"/>
  <c r="K37" i="17" s="1"/>
  <c r="L37" i="17"/>
  <c r="M37" i="17" s="1"/>
  <c r="N37" i="17"/>
  <c r="O37" i="17" s="1"/>
  <c r="P37" i="17"/>
  <c r="Q37" i="17" s="1"/>
  <c r="R37" i="17"/>
  <c r="S37" i="17" s="1"/>
  <c r="J38" i="17"/>
  <c r="K38" i="17" s="1"/>
  <c r="L38" i="17"/>
  <c r="M38" i="17" s="1"/>
  <c r="N38" i="17"/>
  <c r="O38" i="17" s="1"/>
  <c r="P38" i="17"/>
  <c r="Q38" i="17" s="1"/>
  <c r="R38" i="17"/>
  <c r="S38" i="17" s="1"/>
  <c r="J39" i="17"/>
  <c r="K39" i="17" s="1"/>
  <c r="L39" i="17"/>
  <c r="M39" i="17" s="1"/>
  <c r="N39" i="17"/>
  <c r="O39" i="17" s="1"/>
  <c r="P39" i="17"/>
  <c r="Q39" i="17" s="1"/>
  <c r="R39" i="17"/>
  <c r="S39" i="17" s="1"/>
  <c r="R9" i="17" l="1"/>
  <c r="S9" i="17" s="1"/>
  <c r="P9" i="17"/>
  <c r="Q9" i="17" s="1"/>
  <c r="N9" i="17"/>
  <c r="O9" i="17" s="1"/>
  <c r="L9" i="17"/>
  <c r="M9" i="17" s="1"/>
  <c r="J9" i="17"/>
  <c r="K9" i="17" s="1"/>
</calcChain>
</file>

<file path=xl/sharedStrings.xml><?xml version="1.0" encoding="utf-8"?>
<sst xmlns="http://schemas.openxmlformats.org/spreadsheetml/2006/main" count="112" uniqueCount="86">
  <si>
    <t>REFERENCIA</t>
  </si>
  <si>
    <t>DESCRIÇÃO</t>
  </si>
  <si>
    <t>DESC. PÓS 50GB</t>
  </si>
  <si>
    <t>DESC. PÓS 25GB</t>
  </si>
  <si>
    <t>TABELA SUBSÍDIO CLARO  - TABELA GERAL</t>
  </si>
  <si>
    <t>GALAXY A23 5G</t>
  </si>
  <si>
    <t>SM-A236</t>
  </si>
  <si>
    <t>GALAXY S23 5G 256GB</t>
  </si>
  <si>
    <t>GALAXY S23 PLUS 5G 512GB</t>
  </si>
  <si>
    <t>GALAXY S23 ULTRA 5G 512GB</t>
  </si>
  <si>
    <t>SM-S916</t>
  </si>
  <si>
    <t>SM-S918</t>
  </si>
  <si>
    <t>GALAXY S23 5G 128GB</t>
  </si>
  <si>
    <t>GALAXY S23 PLUS 5G 256GB</t>
  </si>
  <si>
    <t>8GB</t>
  </si>
  <si>
    <t>GALAXY S23 FE 256GB</t>
  </si>
  <si>
    <t>SM-S711</t>
  </si>
  <si>
    <t>DESC. CONTROLE  20GB</t>
  </si>
  <si>
    <t>DESC. PÓS 75GB</t>
  </si>
  <si>
    <t>GALAXY S24 5G 256GB</t>
  </si>
  <si>
    <t>GALAXY S24 PLUS 5G 512GB</t>
  </si>
  <si>
    <t>GALAXY S24 ULTRA 5G 512GB</t>
  </si>
  <si>
    <t>SM-S911</t>
  </si>
  <si>
    <t>SM-S921</t>
  </si>
  <si>
    <t>SM-S926</t>
  </si>
  <si>
    <t>SM-S928</t>
  </si>
  <si>
    <t>GALAXY A15 5G 128GB</t>
  </si>
  <si>
    <t>SM-A156</t>
  </si>
  <si>
    <t>GALAXY A25 5G 256GB</t>
  </si>
  <si>
    <t>SM-A256</t>
  </si>
  <si>
    <t>Claro Controle 20GB</t>
  </si>
  <si>
    <t>PÓS 25GB</t>
  </si>
  <si>
    <t>PÓS 50GB</t>
  </si>
  <si>
    <t>PÓS 75GB</t>
  </si>
  <si>
    <t>STATUS CONTROLE  20GB</t>
  </si>
  <si>
    <t>STATUS PÓS 25GB</t>
  </si>
  <si>
    <t>STATUS PÓS 50GB</t>
  </si>
  <si>
    <t>STATUS PÓS 75GB</t>
  </si>
  <si>
    <t>GALAXY S24 PLUS 5G 256GB</t>
  </si>
  <si>
    <t>GALAXY S24 ULTRA 5G 256GB</t>
  </si>
  <si>
    <t>GALAXY A35 5G 256GB</t>
  </si>
  <si>
    <t>SM-A356</t>
  </si>
  <si>
    <t>GALAXY A55 5G 256GB</t>
  </si>
  <si>
    <t>SM-A556</t>
  </si>
  <si>
    <t>PÓS 30GB</t>
  </si>
  <si>
    <t>DESC. PÓS 30GB</t>
  </si>
  <si>
    <t>STATUS PÓS 30GB</t>
  </si>
  <si>
    <t>GALAXY Z FOLD6 512GB</t>
  </si>
  <si>
    <t>SM-F956</t>
  </si>
  <si>
    <t>GALAXY Z FLIP6 512GB</t>
  </si>
  <si>
    <t>SM-F741</t>
  </si>
  <si>
    <t>GALAXY Z FLIP6 256GB</t>
  </si>
  <si>
    <t>GALAXY S24 FE 256GB</t>
  </si>
  <si>
    <t>SM-S721</t>
  </si>
  <si>
    <t>GALAXY A16 5G 128GB</t>
  </si>
  <si>
    <t>SM-A166</t>
  </si>
  <si>
    <t>GALAXY S25 5G 256GB</t>
  </si>
  <si>
    <t>SM-S931</t>
  </si>
  <si>
    <t>GALAXY S25 PLUS 5G 512GB</t>
  </si>
  <si>
    <t>SM-S936</t>
  </si>
  <si>
    <t>GALAXY S25 ULTRA 5G 512GB</t>
  </si>
  <si>
    <t>SM-S938</t>
  </si>
  <si>
    <t>GALAXY S25 PLUS 5G 256GB</t>
  </si>
  <si>
    <t>GALAXY S25 ULTRA 5G 256GB</t>
  </si>
  <si>
    <t>GALAXY A36 5G 256GB</t>
  </si>
  <si>
    <t>SM-A366</t>
  </si>
  <si>
    <t>GALAXY A56 5G 256GB</t>
  </si>
  <si>
    <t>SM-A566</t>
  </si>
  <si>
    <t>SM-S937</t>
  </si>
  <si>
    <t>GALAXY A06 5G 128GB</t>
  </si>
  <si>
    <t>SM-A066</t>
  </si>
  <si>
    <t>GALAXY S25 EDGE 512GB</t>
  </si>
  <si>
    <t>GALAXY Z FLIP7 512GB</t>
  </si>
  <si>
    <t>SM-F766</t>
  </si>
  <si>
    <t>SM-F966</t>
  </si>
  <si>
    <t>GALAXY Z FLIP7 FE 256GB</t>
  </si>
  <si>
    <t>SM-F761</t>
  </si>
  <si>
    <t>GALAXY Z FOLD7 1TB</t>
  </si>
  <si>
    <t>GALAXY Z FLIP7 256GB</t>
  </si>
  <si>
    <t>GALAXY Z FOLD7 512GB</t>
  </si>
  <si>
    <t>GALAXY A17 5G 128GB</t>
  </si>
  <si>
    <t>SM-A176</t>
  </si>
  <si>
    <t>GALAXY S25 FE 256GB</t>
  </si>
  <si>
    <t>SM-S731</t>
  </si>
  <si>
    <t>[INFORMATIVO TELECEL nº 011/26] - *** Tabela Subsídios - Claro - OPERAÇÃO SAMSUNG **** 01/2026 - 09.01.26</t>
  </si>
  <si>
    <t>Vigência: 09.01.26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</si>
</sst>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-&quot;R$&quot;* #,##0.00_-;\-&quot;R$&quot;* #,##0.00_-;_-&quot;R$&quot;* &quot;-&quot;??_-;_-@_-"/>
    <numFmt numFmtId="166" formatCode="_-[$$-409]* #,##0_ ;_-[$$-409]* \-#,##0\ ;_-[$$-409]* &quot;-&quot;??_ ;_-@_ 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56"/>
      <name val="Arial"/>
      <family val="2"/>
    </font>
    <font>
      <sz val="11"/>
      <color indexed="8"/>
      <name val="Calibri"/>
      <family val="2"/>
    </font>
    <font>
      <sz val="10"/>
      <color indexed="56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3366"/>
      <name val="Arial"/>
      <family val="2"/>
    </font>
    <font>
      <sz val="10"/>
      <color rgb="FF003366"/>
      <name val="Arial"/>
      <family val="2"/>
    </font>
    <font>
      <b/>
      <sz val="15"/>
      <color theme="0"/>
      <name val="Arial"/>
      <family val="2"/>
    </font>
    <font>
      <b/>
      <sz val="12"/>
      <name val="Arial"/>
      <family val="2"/>
    </font>
    <font>
      <b/>
      <sz val="12"/>
      <color rgb="FF003366"/>
      <name val="Arial"/>
      <family val="2"/>
    </font>
    <font>
      <b/>
      <sz val="10"/>
      <color rgb="FF0033CC"/>
      <name val="Arial"/>
      <family val="2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맑은 고딕"/>
      <family val="3"/>
      <charset val="129"/>
    </font>
    <font>
      <sz val="11"/>
      <color indexed="8"/>
      <name val="Calibri"/>
      <family val="2"/>
      <charset val="129"/>
    </font>
    <font>
      <sz val="11"/>
      <color indexed="8"/>
      <name val="Calibri"/>
      <family val="3"/>
      <charset val="129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56"/>
      </left>
      <right/>
      <top/>
      <bottom/>
      <diagonal/>
    </border>
    <border>
      <left style="hair">
        <color rgb="FF003366"/>
      </left>
      <right style="hair">
        <color rgb="FF003366"/>
      </right>
      <top style="hair">
        <color rgb="FF003366"/>
      </top>
      <bottom style="hair">
        <color rgb="FF003366"/>
      </bottom>
      <diagonal/>
    </border>
    <border>
      <left style="hair">
        <color indexed="56"/>
      </left>
      <right style="hair">
        <color indexed="56"/>
      </right>
      <top style="hair">
        <color indexed="56"/>
      </top>
      <bottom style="hair">
        <color indexed="56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7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6" fillId="20" borderId="0" applyNumberFormat="0" applyBorder="0" applyAlignment="0" applyProtection="0"/>
    <xf numFmtId="0" fontId="7" fillId="21" borderId="1" applyNumberFormat="0" applyAlignment="0" applyProtection="0"/>
    <xf numFmtId="0" fontId="8" fillId="22" borderId="2" applyNumberFormat="0" applyAlignment="0" applyProtection="0"/>
    <xf numFmtId="0" fontId="9" fillId="0" borderId="3" applyNumberFormat="0" applyFill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1" fillId="29" borderId="1" applyNumberFormat="0" applyAlignment="0" applyProtection="0"/>
    <xf numFmtId="4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" fillId="30" borderId="4" applyNumberFormat="0" applyFont="0" applyAlignment="0" applyProtection="0"/>
    <xf numFmtId="9" fontId="1" fillId="0" borderId="0" applyFont="0" applyFill="0" applyBorder="0" applyAlignment="0" applyProtection="0"/>
    <xf numFmtId="0" fontId="12" fillId="21" borderId="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3" fillId="0" borderId="0" applyFont="0" applyFill="0" applyBorder="0" applyAlignment="0" applyProtection="0"/>
    <xf numFmtId="0" fontId="5" fillId="0" borderId="0"/>
    <xf numFmtId="0" fontId="5" fillId="0" borderId="0"/>
    <xf numFmtId="0" fontId="26" fillId="35" borderId="0" applyNumberFormat="0" applyBorder="0" applyAlignment="0" applyProtection="0"/>
    <xf numFmtId="0" fontId="27" fillId="36" borderId="0" applyNumberFormat="0" applyBorder="0" applyAlignment="0" applyProtection="0"/>
    <xf numFmtId="0" fontId="28" fillId="0" borderId="0"/>
    <xf numFmtId="44" fontId="28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5" fillId="0" borderId="0"/>
    <xf numFmtId="0" fontId="1" fillId="0" borderId="0"/>
    <xf numFmtId="164" fontId="1" fillId="0" borderId="0" applyFont="0" applyFill="0" applyBorder="0" applyAlignment="0" applyProtection="0"/>
    <xf numFmtId="9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" fillId="0" borderId="0"/>
    <xf numFmtId="0" fontId="5" fillId="0" borderId="0"/>
    <xf numFmtId="9" fontId="28" fillId="0" borderId="0" applyFont="0" applyFill="0" applyBorder="0" applyAlignment="0" applyProtection="0"/>
    <xf numFmtId="0" fontId="5" fillId="0" borderId="0"/>
    <xf numFmtId="0" fontId="5" fillId="0" borderId="0"/>
    <xf numFmtId="0" fontId="5" fillId="30" borderId="4" applyNumberFormat="0" applyFont="0" applyAlignment="0" applyProtection="0"/>
    <xf numFmtId="0" fontId="28" fillId="0" borderId="0"/>
    <xf numFmtId="0" fontId="5" fillId="0" borderId="0"/>
    <xf numFmtId="164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28" fillId="0" borderId="0" applyFont="0" applyFill="0" applyBorder="0" applyAlignment="0" applyProtection="0"/>
    <xf numFmtId="165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1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0" fontId="5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0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1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3" fillId="0" borderId="0"/>
    <xf numFmtId="166" fontId="3" fillId="0" borderId="0"/>
    <xf numFmtId="166" fontId="3" fillId="0" borderId="0"/>
    <xf numFmtId="16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0" fillId="0" borderId="0">
      <alignment vertical="center"/>
    </xf>
    <xf numFmtId="166" fontId="31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0" borderId="0"/>
    <xf numFmtId="0" fontId="5" fillId="0" borderId="0"/>
    <xf numFmtId="0" fontId="5" fillId="30" borderId="4" applyNumberFormat="0" applyFont="0" applyAlignment="0" applyProtection="0"/>
    <xf numFmtId="0" fontId="5" fillId="0" borderId="0"/>
    <xf numFmtId="0" fontId="5" fillId="30" borderId="4" applyNumberFormat="0" applyFont="0" applyAlignment="0" applyProtection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44" fontId="28" fillId="0" borderId="0" applyFont="0" applyFill="0" applyBorder="0" applyAlignment="0" applyProtection="0"/>
    <xf numFmtId="0" fontId="5" fillId="0" borderId="0"/>
    <xf numFmtId="0" fontId="5" fillId="30" borderId="4" applyNumberFormat="0" applyFont="0" applyAlignment="0" applyProtection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0" borderId="0"/>
    <xf numFmtId="44" fontId="28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44" fontId="28" fillId="0" borderId="0" applyFont="0" applyFill="0" applyBorder="0" applyAlignment="0" applyProtection="0"/>
    <xf numFmtId="0" fontId="5" fillId="0" borderId="0"/>
    <xf numFmtId="44" fontId="28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" fillId="0" borderId="0"/>
    <xf numFmtId="0" fontId="5" fillId="0" borderId="0"/>
    <xf numFmtId="44" fontId="28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" fillId="0" borderId="0"/>
    <xf numFmtId="0" fontId="5" fillId="0" borderId="0"/>
    <xf numFmtId="9" fontId="28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32" applyAlignment="1">
      <alignment horizontal="center"/>
    </xf>
    <xf numFmtId="0" fontId="4" fillId="0" borderId="0" xfId="32" applyFont="1" applyAlignment="1">
      <alignment horizontal="center"/>
    </xf>
    <xf numFmtId="0" fontId="2" fillId="0" borderId="0" xfId="32" applyFont="1" applyAlignment="1">
      <alignment horizontal="center"/>
    </xf>
    <xf numFmtId="0" fontId="23" fillId="0" borderId="0" xfId="32" applyFont="1" applyAlignment="1">
      <alignment horizontal="center"/>
    </xf>
    <xf numFmtId="0" fontId="24" fillId="0" borderId="0" xfId="32" applyFont="1" applyAlignment="1">
      <alignment horizontal="left"/>
    </xf>
    <xf numFmtId="0" fontId="2" fillId="0" borderId="12" xfId="45" applyFont="1" applyBorder="1"/>
    <xf numFmtId="44" fontId="25" fillId="34" borderId="12" xfId="30" applyFont="1" applyFill="1" applyBorder="1" applyAlignment="1" applyProtection="1">
      <alignment horizontal="center" vertical="center" wrapText="1"/>
      <protection locked="0"/>
    </xf>
    <xf numFmtId="44" fontId="25" fillId="34" borderId="12" xfId="30" applyFont="1" applyFill="1" applyBorder="1" applyAlignment="1" applyProtection="1">
      <alignment horizontal="center"/>
      <protection locked="0"/>
    </xf>
    <xf numFmtId="0" fontId="1" fillId="0" borderId="0" xfId="32"/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1" fillId="0" borderId="0" xfId="32" applyAlignment="1">
      <alignment horizontal="center" vertical="center" wrapText="1"/>
    </xf>
    <xf numFmtId="8" fontId="25" fillId="34" borderId="12" xfId="30" applyNumberFormat="1" applyFont="1" applyFill="1" applyBorder="1" applyAlignment="1" applyProtection="1">
      <alignment horizontal="center"/>
      <protection locked="0"/>
    </xf>
    <xf numFmtId="44" fontId="25" fillId="34" borderId="12" xfId="326" applyFont="1" applyFill="1" applyBorder="1" applyAlignment="1" applyProtection="1">
      <alignment horizontal="center"/>
      <protection locked="0"/>
    </xf>
    <xf numFmtId="0" fontId="22" fillId="32" borderId="10" xfId="374" applyFont="1" applyFill="1" applyBorder="1" applyAlignment="1">
      <alignment horizontal="centerContinuous"/>
    </xf>
    <xf numFmtId="0" fontId="22" fillId="32" borderId="0" xfId="374" applyFont="1" applyFill="1" applyAlignment="1">
      <alignment horizontal="centerContinuous"/>
    </xf>
    <xf numFmtId="0" fontId="1" fillId="0" borderId="0" xfId="374" applyAlignment="1">
      <alignment horizontal="center"/>
    </xf>
    <xf numFmtId="0" fontId="20" fillId="31" borderId="11" xfId="374" applyFont="1" applyFill="1" applyBorder="1" applyAlignment="1">
      <alignment horizontal="center" vertical="center" wrapText="1"/>
    </xf>
    <xf numFmtId="44" fontId="20" fillId="33" borderId="11" xfId="375" applyFont="1" applyFill="1" applyBorder="1" applyAlignment="1">
      <alignment horizontal="center" vertical="center" wrapText="1"/>
    </xf>
    <xf numFmtId="44" fontId="21" fillId="0" borderId="11" xfId="375" applyFont="1" applyFill="1" applyBorder="1" applyAlignment="1">
      <alignment horizontal="center"/>
    </xf>
    <xf numFmtId="44" fontId="21" fillId="37" borderId="11" xfId="375" applyFont="1" applyFill="1" applyBorder="1" applyAlignment="1">
      <alignment horizontal="center"/>
    </xf>
  </cellXfs>
  <cellStyles count="376">
    <cellStyle name="20% - Ênfase1" xfId="1" builtinId="30" customBuiltin="1"/>
    <cellStyle name="20% - Ênfase1 2" xfId="308" xr:uid="{28682148-2834-4581-8F5F-4981D6EB9808}"/>
    <cellStyle name="20% - Ênfase1 3" xfId="329" xr:uid="{5D6AB094-6DDA-4C8D-8756-7B7C41D3EFFE}"/>
    <cellStyle name="20% - Ênfase1 4" xfId="285" xr:uid="{71D7C480-4AEC-4F62-BDDF-33D190D365D5}"/>
    <cellStyle name="20% - Ênfase2" xfId="2" builtinId="34" customBuiltin="1"/>
    <cellStyle name="20% - Ênfase2 2" xfId="311" xr:uid="{EA8E9F2C-FAE0-4796-B9E7-F852F6932F8F}"/>
    <cellStyle name="20% - Ênfase2 3" xfId="332" xr:uid="{1C470B23-835D-4E8D-9472-1959CE1795A4}"/>
    <cellStyle name="20% - Ênfase2 4" xfId="288" xr:uid="{B64E7A25-F12B-4ED7-A010-82125205206B}"/>
    <cellStyle name="20% - Ênfase3" xfId="3" builtinId="38" customBuiltin="1"/>
    <cellStyle name="20% - Ênfase3 2" xfId="314" xr:uid="{7702F387-6655-44EF-A1A1-CEC0C42210C6}"/>
    <cellStyle name="20% - Ênfase3 3" xfId="335" xr:uid="{DBBA4BF5-5661-444E-8927-B8C75FF92552}"/>
    <cellStyle name="20% - Ênfase3 4" xfId="291" xr:uid="{1B777F3B-8D15-49B9-942A-657BCD8AB69B}"/>
    <cellStyle name="20% - Ênfase4" xfId="4" builtinId="42" customBuiltin="1"/>
    <cellStyle name="20% - Ênfase4 2" xfId="317" xr:uid="{E3CBB915-4026-4C14-8550-4E62CA9D1846}"/>
    <cellStyle name="20% - Ênfase4 3" xfId="338" xr:uid="{E6CEEF6B-E931-46CA-8F72-8B2C5DBA8458}"/>
    <cellStyle name="20% - Ênfase4 4" xfId="294" xr:uid="{405BC38E-39C6-4AD9-AA8B-D86FEFDDFBC0}"/>
    <cellStyle name="20% - Ênfase5" xfId="5" builtinId="46" customBuiltin="1"/>
    <cellStyle name="20% - Ênfase5 2" xfId="320" xr:uid="{1E83485B-C3AF-4C6A-850A-E8967F98B857}"/>
    <cellStyle name="20% - Ênfase5 3" xfId="341" xr:uid="{6FC1CDBD-09DC-4EFE-B1F0-C7E2F2A45564}"/>
    <cellStyle name="20% - Ênfase5 4" xfId="297" xr:uid="{6038C9A1-349D-4FB0-8464-2B4389B028D9}"/>
    <cellStyle name="20% - Ênfase6" xfId="6" builtinId="50" customBuiltin="1"/>
    <cellStyle name="20% - Ênfase6 2" xfId="323" xr:uid="{7C811054-BE18-4A56-8A2E-059C6F4FBBDE}"/>
    <cellStyle name="20% - Ênfase6 3" xfId="344" xr:uid="{65A925F0-2F00-4082-9BAA-469B9F8A3C17}"/>
    <cellStyle name="20% - Ênfase6 4" xfId="300" xr:uid="{1C7265E8-AF3C-46EF-9AA8-030DCD1EB188}"/>
    <cellStyle name="3232" xfId="74" xr:uid="{751D64D9-C5E2-4CBD-B307-0EEB94C9B0A2}"/>
    <cellStyle name="40% - Ênfase1" xfId="7" builtinId="31" customBuiltin="1"/>
    <cellStyle name="40% - Ênfase1 2" xfId="309" xr:uid="{5A0621F7-8C3B-4EBB-8279-DC4EDFA0B98D}"/>
    <cellStyle name="40% - Ênfase1 3" xfId="330" xr:uid="{BF7673A2-962F-4D6C-97D9-FFC57A26AC39}"/>
    <cellStyle name="40% - Ênfase1 4" xfId="286" xr:uid="{4CCA8A21-5B15-4AB6-A968-532B32CF32BF}"/>
    <cellStyle name="40% - Ênfase2" xfId="8" builtinId="35" customBuiltin="1"/>
    <cellStyle name="40% - Ênfase2 2" xfId="312" xr:uid="{81B3C1D0-395B-4638-9275-1E7EA586C56E}"/>
    <cellStyle name="40% - Ênfase2 3" xfId="333" xr:uid="{12065F5E-1999-42E9-9CCB-3C0CD6A724C7}"/>
    <cellStyle name="40% - Ênfase2 4" xfId="289" xr:uid="{D38E9D29-5197-441B-AA19-CC90D7537841}"/>
    <cellStyle name="40% - Ênfase3" xfId="9" builtinId="39" customBuiltin="1"/>
    <cellStyle name="40% - Ênfase3 2" xfId="315" xr:uid="{62178EFD-A1F3-4CF5-AC79-F9913CC364CD}"/>
    <cellStyle name="40% - Ênfase3 3" xfId="336" xr:uid="{23659970-1A4C-49AA-B979-07AEB664BBE9}"/>
    <cellStyle name="40% - Ênfase3 4" xfId="292" xr:uid="{4FC7E205-8A12-406F-B6B9-187D3F7A9EC4}"/>
    <cellStyle name="40% - Ênfase4" xfId="10" builtinId="43" customBuiltin="1"/>
    <cellStyle name="40% - Ênfase4 2" xfId="318" xr:uid="{577D0F6B-58AF-4797-8119-DFA1892EE510}"/>
    <cellStyle name="40% - Ênfase4 3" xfId="339" xr:uid="{678A24D1-E29A-40AD-AA34-5DBC7BAFF394}"/>
    <cellStyle name="40% - Ênfase4 4" xfId="295" xr:uid="{C56FCFA5-F97A-4327-8693-3AC048F78FEE}"/>
    <cellStyle name="40% - Ênfase5" xfId="11" builtinId="47" customBuiltin="1"/>
    <cellStyle name="40% - Ênfase5 2" xfId="321" xr:uid="{85CE5C5B-3063-45B4-ACB9-913F5BBD649A}"/>
    <cellStyle name="40% - Ênfase5 3" xfId="342" xr:uid="{1BE2C0FD-BADE-4F2D-B80C-EF419F1CF35A}"/>
    <cellStyle name="40% - Ênfase5 4" xfId="298" xr:uid="{637BDD80-EA6C-4D35-8DCF-E625CFB8B6AD}"/>
    <cellStyle name="40% - Ênfase6" xfId="12" builtinId="51" customBuiltin="1"/>
    <cellStyle name="40% - Ênfase6 2" xfId="324" xr:uid="{E870A2F1-05A9-4F36-AF4A-EE902C9E5FC4}"/>
    <cellStyle name="40% - Ênfase6 3" xfId="345" xr:uid="{1019ACD4-6943-4776-B259-8602988F8D96}"/>
    <cellStyle name="40% - Ênfase6 4" xfId="301" xr:uid="{5E3E6CD5-9E97-4EF9-A677-D89BDFC12268}"/>
    <cellStyle name="60% - Ênfase1" xfId="13" builtinId="32" customBuiltin="1"/>
    <cellStyle name="60% - Ênfase1 2" xfId="310" xr:uid="{C70343B2-D8FF-4661-9E36-DEFC6C230328}"/>
    <cellStyle name="60% - Ênfase1 3" xfId="331" xr:uid="{5317B1B5-DD9F-4713-8E9C-784354C85B3D}"/>
    <cellStyle name="60% - Ênfase1 4" xfId="287" xr:uid="{E3341A37-3D32-413B-8EA8-77FD9A8AA6C0}"/>
    <cellStyle name="60% - Ênfase2" xfId="14" builtinId="36" customBuiltin="1"/>
    <cellStyle name="60% - Ênfase2 2" xfId="313" xr:uid="{93318129-CE51-4FC7-8158-71C64C8A9023}"/>
    <cellStyle name="60% - Ênfase2 3" xfId="334" xr:uid="{ECDB7C35-0FB1-413F-A11B-4B869540FE68}"/>
    <cellStyle name="60% - Ênfase2 4" xfId="290" xr:uid="{39D8845F-23E3-4E58-923B-FA4DFEF14C4A}"/>
    <cellStyle name="60% - Ênfase3" xfId="15" builtinId="40" customBuiltin="1"/>
    <cellStyle name="60% - Ênfase3 2" xfId="316" xr:uid="{8026432D-01EF-4E25-9F95-924D92AD88A5}"/>
    <cellStyle name="60% - Ênfase3 3" xfId="337" xr:uid="{7F8ABBB8-BF12-4298-95AB-BF670F13F945}"/>
    <cellStyle name="60% - Ênfase3 4" xfId="293" xr:uid="{7F803027-B756-4E93-AC22-EB98F885E039}"/>
    <cellStyle name="60% - Ênfase4" xfId="16" builtinId="44" customBuiltin="1"/>
    <cellStyle name="60% - Ênfase4 2" xfId="319" xr:uid="{433C9482-612C-4E13-808A-494277C67DDE}"/>
    <cellStyle name="60% - Ênfase4 3" xfId="340" xr:uid="{A763CF5F-F03E-4869-9026-FE75F2745181}"/>
    <cellStyle name="60% - Ênfase4 4" xfId="296" xr:uid="{709D0083-EA0C-4439-B3D5-B7838413BD65}"/>
    <cellStyle name="60% - Ênfase5" xfId="17" builtinId="48" customBuiltin="1"/>
    <cellStyle name="60% - Ênfase5 2" xfId="322" xr:uid="{83026C2D-52ED-4AF6-82CA-8F5868AA3C67}"/>
    <cellStyle name="60% - Ênfase5 3" xfId="343" xr:uid="{5DB8559B-DDA5-444F-A41F-507FEA95FC85}"/>
    <cellStyle name="60% - Ênfase5 4" xfId="299" xr:uid="{8888870A-0DBE-4D88-B3CE-6D9261A22366}"/>
    <cellStyle name="60% - Ênfase6" xfId="18" builtinId="52" customBuiltin="1"/>
    <cellStyle name="60% - Ênfase6 2" xfId="325" xr:uid="{DDC719DB-7795-4792-AC90-AA56E2C3E717}"/>
    <cellStyle name="60% - Ênfase6 3" xfId="346" xr:uid="{698D024F-77D3-4647-AE5D-88E8053A1B81}"/>
    <cellStyle name="60% - Ênfase6 4" xfId="302" xr:uid="{5511AD55-B117-4609-8BA8-0A0EB94BE223}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Comma 2" xfId="75" xr:uid="{50CE1AC1-4672-4A8D-B4BE-C07B2283783A}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Moeda" xfId="30" builtinId="4"/>
    <cellStyle name="Moeda 10" xfId="326" xr:uid="{8B2D0CFC-E4CC-412B-9ECE-D766C9AB1E30}"/>
    <cellStyle name="Moeda 10 2" xfId="348" xr:uid="{4B224C41-1C87-4B16-9868-5573E2A0F16D}"/>
    <cellStyle name="Moeda 10 2 2" xfId="353" xr:uid="{148CE66E-B35F-48C9-BD73-4C8F5B57CDFB}"/>
    <cellStyle name="Moeda 11" xfId="76" xr:uid="{634F0E1A-DD21-49A1-AC53-5FF2F3212261}"/>
    <cellStyle name="Moeda 12" xfId="373" xr:uid="{2A525A98-0286-4A4C-A369-B730020C40B2}"/>
    <cellStyle name="Moeda 13" xfId="50" xr:uid="{46E14C61-3D83-431C-B58B-1D32EDFD9A31}"/>
    <cellStyle name="Moeda 15" xfId="375" xr:uid="{BC0880C0-5698-43F9-9C2E-6048CFC17B07}"/>
    <cellStyle name="Moeda 2" xfId="31" xr:uid="{00000000-0005-0000-0000-00001E000000}"/>
    <cellStyle name="Moeda 2 2" xfId="58" xr:uid="{F44B014B-4BE0-4E74-A423-85089249619D}"/>
    <cellStyle name="Moeda 2 2 2" xfId="73" xr:uid="{183BB5E8-0200-40EB-BDF9-5542BEA7F078}"/>
    <cellStyle name="Moeda 2 3" xfId="63" xr:uid="{08B4BC7E-804A-4DF1-BB7D-0F3F420CE2D2}"/>
    <cellStyle name="Moeda 2 3 2" xfId="365" xr:uid="{700D327F-0BB3-401F-87AD-D02FE884DE4B}"/>
    <cellStyle name="Moeda 2 4" xfId="358" xr:uid="{53327449-8590-4059-A6B5-8AF00D922538}"/>
    <cellStyle name="Moeda 2 5" xfId="77" xr:uid="{EA005A6D-5A61-4DA0-85D5-0E7105E06064}"/>
    <cellStyle name="Moeda 2 6" xfId="53" xr:uid="{58286EEE-ABB3-483F-B616-9BFE0B9A6547}"/>
    <cellStyle name="Moeda 3" xfId="44" xr:uid="{00000000-0005-0000-0000-00001F000000}"/>
    <cellStyle name="Moeda 3 2" xfId="64" xr:uid="{DC1830C8-6E86-49D7-91F6-232967C1D1DE}"/>
    <cellStyle name="Moeda 3 2 2" xfId="366" xr:uid="{E33DE2D9-BB14-4E9E-8A62-650FC9FC455E}"/>
    <cellStyle name="Moeda 3 2 3" xfId="79" xr:uid="{AEFE76BF-CD8D-4F01-B70B-594B3D1A7920}"/>
    <cellStyle name="Moeda 3 3" xfId="359" xr:uid="{B41F525D-6937-4A8D-8594-DE15D9224FC6}"/>
    <cellStyle name="Moeda 3 4" xfId="78" xr:uid="{DB5E2B45-FF9C-4B87-9A06-B48EA70AAC4D}"/>
    <cellStyle name="Moeda 3 5" xfId="55" xr:uid="{5A0A5BAF-9802-4390-900D-3C75EBA5E370}"/>
    <cellStyle name="Moeda 4" xfId="60" xr:uid="{765AD6ED-BC1B-414D-A607-CFCDEAA0028E}"/>
    <cellStyle name="Moeda 4 2" xfId="362" xr:uid="{6277C886-4454-4870-B518-B0176300C1A5}"/>
    <cellStyle name="Moeda 4 3" xfId="80" xr:uid="{3AF106EE-4DFE-4C4E-9AD3-34E07661B51A}"/>
    <cellStyle name="Moeda 5" xfId="81" xr:uid="{DBBFA16F-0F2A-4BF6-A2BC-759CBB50D14D}"/>
    <cellStyle name="Moeda 6" xfId="82" xr:uid="{00D15B7B-6546-4D4B-AABF-CEC76917F8F5}"/>
    <cellStyle name="Moeda 7" xfId="83" xr:uid="{8269885C-7904-4F4D-93C1-B8639BCAAE65}"/>
    <cellStyle name="Moeda 8" xfId="84" xr:uid="{24A1F54D-1F6F-4D23-8585-8F68FDA8CA93}"/>
    <cellStyle name="Moeda 9" xfId="355" xr:uid="{A753594F-84C1-46C2-9EF1-DEA45CF2990E}"/>
    <cellStyle name="Neutro" xfId="48" builtinId="28" customBuiltin="1"/>
    <cellStyle name="Normal" xfId="0" builtinId="0"/>
    <cellStyle name="Normal 10" xfId="85" xr:uid="{C357F8EC-1BCC-4B55-962A-955DE6CB19B1}"/>
    <cellStyle name="Normal 10 2" xfId="86" xr:uid="{6AFDFB8E-B7C3-402C-B625-40A1253CD900}"/>
    <cellStyle name="Normal 11" xfId="87" xr:uid="{D2A8211D-411E-4CC8-B1D3-9E05F756D93B}"/>
    <cellStyle name="Normal 11 2" xfId="88" xr:uid="{E14D5A8C-5FCC-4015-A185-4165F906C756}"/>
    <cellStyle name="Normal 12" xfId="71" xr:uid="{BE042ACA-8417-40FE-82B2-93D11F5E751D}"/>
    <cellStyle name="Normal 12 2" xfId="90" xr:uid="{30E6FE45-1D60-4EC9-AA87-C0ADC1312418}"/>
    <cellStyle name="Normal 12 3" xfId="89" xr:uid="{A701EE44-377A-480D-B753-8BD095A2E947}"/>
    <cellStyle name="Normal 13" xfId="281" xr:uid="{B5CE79D7-8F91-4999-8918-72E8A8FAAA02}"/>
    <cellStyle name="Normal 14" xfId="91" xr:uid="{EF62F4E2-589B-498E-9BBE-2FAB28F543A7}"/>
    <cellStyle name="Normal 15" xfId="92" xr:uid="{0FDD10D1-8C74-4946-B768-87131399F73A}"/>
    <cellStyle name="Normal 15 2" xfId="93" xr:uid="{4EB6C4AA-F546-4CFF-9EA3-9F32A0C5C28D}"/>
    <cellStyle name="Normal 16" xfId="283" xr:uid="{E39A2763-67F9-4437-BD33-2744E2E1E0D2}"/>
    <cellStyle name="Normal 17" xfId="94" xr:uid="{7B8BF825-AB61-4C5B-A548-3917CCA56CA0}"/>
    <cellStyle name="Normal 17 2" xfId="95" xr:uid="{093B9C3C-399C-4023-B0F5-2690DA1049FE}"/>
    <cellStyle name="Normal 18" xfId="96" xr:uid="{6A46F29A-558D-4882-A63C-9319EF89154B}"/>
    <cellStyle name="Normal 18 2" xfId="97" xr:uid="{1FCAE3BE-B210-448F-B5DA-E6C3CE0EBECF}"/>
    <cellStyle name="Normal 19" xfId="98" xr:uid="{86D42EB7-8925-4CB8-9085-29B4F99211C3}"/>
    <cellStyle name="Normal 19 2" xfId="99" xr:uid="{1ABAA6E5-DC59-4AC0-8EA5-F1A135045E67}"/>
    <cellStyle name="Normal 2" xfId="32" xr:uid="{00000000-0005-0000-0000-000021000000}"/>
    <cellStyle name="Normal 2 10" xfId="100" xr:uid="{DC1D4802-268B-4FE3-BB23-D520D7BF79CF}"/>
    <cellStyle name="Normal 2 10 2" xfId="374" xr:uid="{4F96F9EE-90BD-4566-99A2-39E4D207148C}"/>
    <cellStyle name="Normal 2 11" xfId="51" xr:uid="{39AA88CD-F21A-4910-9981-0712EBF5EAAD}"/>
    <cellStyle name="Normal 2 2" xfId="54" xr:uid="{E7FEBF5C-5A17-4AB6-8B8A-3C75FFF7ED80}"/>
    <cellStyle name="Normal 2 3" xfId="61" xr:uid="{2D2AE6FA-8436-4864-A198-FC340F16BC4C}"/>
    <cellStyle name="Normal 2 3 2" xfId="102" xr:uid="{D3E5D29F-B84A-4115-BE95-7519D4BA17A9}"/>
    <cellStyle name="Normal 2 3 3" xfId="363" xr:uid="{92FCC85D-0499-4957-B2C9-5E7224516E53}"/>
    <cellStyle name="Normal 2 3 4" xfId="101" xr:uid="{22E4BB3E-12B2-4AAC-89F7-C38976AF45B2}"/>
    <cellStyle name="Normal 2 4" xfId="103" xr:uid="{D67885B2-04CD-4191-A875-2D96168F4CB8}"/>
    <cellStyle name="Normal 2 4 2" xfId="104" xr:uid="{51E4FF33-B794-469F-B2F8-C4FC059A101C}"/>
    <cellStyle name="Normal 2 5" xfId="105" xr:uid="{2B10DCA4-953D-4C01-82FD-B923E7CEE947}"/>
    <cellStyle name="Normal 2 5 2" xfId="106" xr:uid="{1B3D7CC9-06BE-4C4F-876D-1A1221EA513C}"/>
    <cellStyle name="Normal 2 6" xfId="107" xr:uid="{A0B06666-49AC-490A-A10D-81BF94BDB03D}"/>
    <cellStyle name="Normal 2 6 2" xfId="108" xr:uid="{941801BF-E228-4644-B7EF-D6F4BD6252FA}"/>
    <cellStyle name="Normal 2 7" xfId="109" xr:uid="{CC544A08-B8B4-406E-8343-0442E6026832}"/>
    <cellStyle name="Normal 2 7 2" xfId="110" xr:uid="{1C4AD54F-3C2C-4977-BF4F-BF603344C3E7}"/>
    <cellStyle name="Normal 2 8" xfId="57" xr:uid="{ECE33B7C-43D5-47A5-8554-54EB70E1D5B9}"/>
    <cellStyle name="Normal 2 8 2" xfId="350" xr:uid="{8A494FFF-A044-459A-B462-B03A08530FD8}"/>
    <cellStyle name="Normal 2 8 3" xfId="282" xr:uid="{79439575-F96F-4199-8CA2-B77980153AE4}"/>
    <cellStyle name="Normal 2 9" xfId="356" xr:uid="{5C15DC23-6CCB-49DC-ADEB-F739DB73C596}"/>
    <cellStyle name="Normal 2_Price List W14-2015-vs2 01.04.15" xfId="111" xr:uid="{FCD4EAE4-9FC9-4701-9055-455ADD422BF3}"/>
    <cellStyle name="Normal 20" xfId="112" xr:uid="{BF205221-217B-487C-B009-D19253ACE52A}"/>
    <cellStyle name="Normal 20 2" xfId="113" xr:uid="{D529A891-26E5-4073-A24C-DFA373BE6A75}"/>
    <cellStyle name="Normal 21" xfId="114" xr:uid="{C3206C93-9F69-471A-B9D5-58FBDD1BC7F8}"/>
    <cellStyle name="Normal 21 2" xfId="115" xr:uid="{BB8A65A8-0893-4C55-9545-F46898B88B0D}"/>
    <cellStyle name="Normal 22" xfId="116" xr:uid="{3F7293D0-7ED3-49BD-8FBA-89F4C6B75FAF}"/>
    <cellStyle name="Normal 22 2" xfId="117" xr:uid="{576B145C-1C1D-404A-BAD8-CE6D06AB4E16}"/>
    <cellStyle name="Normal 23" xfId="284" xr:uid="{751A99F2-3029-4139-AB4C-664C76CED4A3}"/>
    <cellStyle name="Normal 24" xfId="303" xr:uid="{0491A801-D163-47C6-A650-B84F075912D5}"/>
    <cellStyle name="Normal 25" xfId="304" xr:uid="{701FBBAE-6DB7-431E-86A5-EB0A64958BE5}"/>
    <cellStyle name="Normal 26" xfId="118" xr:uid="{121921A1-B3CF-4C7F-83FE-ECBEA752D514}"/>
    <cellStyle name="Normal 27" xfId="119" xr:uid="{A12FBDAA-4EBC-4461-A720-E538287176C1}"/>
    <cellStyle name="Normal 28" xfId="306" xr:uid="{A9EA4E4A-24BC-4C70-9C1E-DCB8A2833DA4}"/>
    <cellStyle name="Normal 29" xfId="120" xr:uid="{467976E8-4D44-4EA5-88AE-2CBD5E1A6B5C}"/>
    <cellStyle name="Normal 29 2" xfId="121" xr:uid="{2E2DAE3A-7A10-40F1-B36D-F0D57863D54B}"/>
    <cellStyle name="Normal 3" xfId="52" xr:uid="{EB4F3FE2-DB04-40F9-8582-A05DE0AB7323}"/>
    <cellStyle name="Normal 3 2" xfId="62" xr:uid="{7C96DB29-53BB-4750-9233-E1FE2EB0737A}"/>
    <cellStyle name="Normal 3 2 2" xfId="364" xr:uid="{723AD712-7C44-4929-881D-40C7C10ADDCF}"/>
    <cellStyle name="Normal 3 3" xfId="357" xr:uid="{DAD22F0D-07B7-49B5-9F21-0FC9AC0CC789}"/>
    <cellStyle name="Normal 3 4" xfId="122" xr:uid="{C41FE6B0-2887-4F3E-B6B0-DB3DCD54D0D4}"/>
    <cellStyle name="Normal 30" xfId="123" xr:uid="{11879BA6-849F-4A74-B0C7-91DD62760E97}"/>
    <cellStyle name="Normal 31" xfId="124" xr:uid="{EBE84D0D-C3AB-4D40-B30E-87AE327DE094}"/>
    <cellStyle name="Normal 32" xfId="125" xr:uid="{97B5AAAE-4580-4CB1-83AD-2BD15A60AE82}"/>
    <cellStyle name="Normal 33" xfId="126" xr:uid="{B0C7A178-9D66-4399-AB7F-950A1DD05785}"/>
    <cellStyle name="Normal 34" xfId="127" xr:uid="{1E6F28E9-1F45-4F3D-BE16-F3D060CF8105}"/>
    <cellStyle name="Normal 35" xfId="128" xr:uid="{3BD2320F-556E-400C-BC51-27DC575F04D3}"/>
    <cellStyle name="Normal 36" xfId="129" xr:uid="{050F3627-2D47-4E99-8344-E789A4251E27}"/>
    <cellStyle name="Normal 36 2" xfId="130" xr:uid="{BE28FF6C-1678-48D5-8AF4-85FDD3C2D0EE}"/>
    <cellStyle name="Normal 37" xfId="131" xr:uid="{1737111B-0438-4182-92E9-14311720B060}"/>
    <cellStyle name="Normal 38" xfId="132" xr:uid="{BE406662-38DB-43C7-8A0D-4C9512E4FE11}"/>
    <cellStyle name="Normal 39" xfId="133" xr:uid="{B5FFC338-7142-49CC-8CDC-94E6986615BC}"/>
    <cellStyle name="Normal 4" xfId="56" xr:uid="{941C8913-A5B8-4CEA-984D-C649C1D78117}"/>
    <cellStyle name="Normal 4 2" xfId="45" xr:uid="{00000000-0005-0000-0000-000022000000}"/>
    <cellStyle name="Normal 4 2 2" xfId="66" xr:uid="{D2DE3E3A-FD18-495A-9885-4D03E6C75FBE}"/>
    <cellStyle name="Normal 4 2 2 2" xfId="368" xr:uid="{9909D126-550A-41A1-A5D6-BC7301BD15AF}"/>
    <cellStyle name="Normal 4 2 3" xfId="72" xr:uid="{E1265021-0BCE-4AD4-9318-A9586C66BAE9}"/>
    <cellStyle name="Normal 4 2 3 2" xfId="361" xr:uid="{0C48E3B5-5821-4FC6-8B78-DA6207F347BD}"/>
    <cellStyle name="Normal 4 2 4" xfId="135" xr:uid="{B68B499A-5224-4276-85DB-EA26D3AFC205}"/>
    <cellStyle name="Normal 4 3" xfId="65" xr:uid="{DC1801AE-C9A8-4682-87D8-CE118A44BA90}"/>
    <cellStyle name="Normal 4 3 2" xfId="367" xr:uid="{E4D4051F-D176-4A0A-95BF-0DFEEF1DA2E0}"/>
    <cellStyle name="Normal 4 4" xfId="360" xr:uid="{F094C72E-1ABC-4CCD-A9B8-71FA66238A8A}"/>
    <cellStyle name="Normal 4 5" xfId="134" xr:uid="{9E0CA91E-E13D-4F7B-A7C9-2213EA38F9D2}"/>
    <cellStyle name="Normal 40" xfId="136" xr:uid="{FC866C47-3A35-438F-A408-6221821D981A}"/>
    <cellStyle name="Normal 41" xfId="137" xr:uid="{CD81F9F5-D82F-4046-B41A-F3BB36D89307}"/>
    <cellStyle name="Normal 41 2" xfId="138" xr:uid="{824860C5-4CB2-45D6-A932-F30B69497258}"/>
    <cellStyle name="Normal 42" xfId="139" xr:uid="{8A7FC54B-C4C0-44A8-88F5-8B79A5721FD8}"/>
    <cellStyle name="Normal 42 2" xfId="140" xr:uid="{31956FA0-87B9-403B-A5C8-A949C3161BFF}"/>
    <cellStyle name="Normal 43" xfId="141" xr:uid="{68793067-7A1D-45E5-BCBE-F292DC3DB571}"/>
    <cellStyle name="Normal 44" xfId="142" xr:uid="{BF403577-4EF3-4EB4-ACFC-888126715A7A}"/>
    <cellStyle name="Normal 45" xfId="143" xr:uid="{0F03BA43-31C5-4541-AAD0-8F961FBC4A27}"/>
    <cellStyle name="Normal 46" xfId="144" xr:uid="{C3B2BF53-D2D3-44DC-8932-EF7FB853BF7F}"/>
    <cellStyle name="Normal 47" xfId="145" xr:uid="{678EDA61-4A82-422C-A8CE-FEB52BEB84EA}"/>
    <cellStyle name="Normal 48" xfId="146" xr:uid="{EB11DAC2-E32D-480D-86EA-DC2D9CD2124A}"/>
    <cellStyle name="Normal 49" xfId="147" xr:uid="{23D21BE2-26CD-4BEF-9184-8809EA9A8EEF}"/>
    <cellStyle name="Normal 5" xfId="68" xr:uid="{999E9D86-468E-4193-91E3-B6138A312553}"/>
    <cellStyle name="Normal 5 2" xfId="149" xr:uid="{A994AF5B-1659-427E-A23E-0913394BC542}"/>
    <cellStyle name="Normal 5 3" xfId="370" xr:uid="{7DEE99D1-7253-4764-BBEE-21C0E39269B8}"/>
    <cellStyle name="Normal 5 4" xfId="148" xr:uid="{68EF9EE4-4DD2-4AC0-A638-5F17EE02C76E}"/>
    <cellStyle name="Normal 50" xfId="150" xr:uid="{EB4242D7-0951-4206-BB75-A8AE84C3CBE1}"/>
    <cellStyle name="Normal 51" xfId="151" xr:uid="{055F8F5A-BF69-4C63-BCD5-27EFA287BBD8}"/>
    <cellStyle name="Normal 52" xfId="152" xr:uid="{FF63D396-5BCA-4371-B806-B82A396F1A17}"/>
    <cellStyle name="Normal 53" xfId="153" xr:uid="{F7312CF2-83BD-460C-A588-8368D6648BBA}"/>
    <cellStyle name="Normal 54" xfId="154" xr:uid="{6B1FFCDF-49D2-446A-9696-2A054C26700C}"/>
    <cellStyle name="Normal 55" xfId="155" xr:uid="{E5A58675-ED5A-4B72-B624-66E1952F12BC}"/>
    <cellStyle name="Normal 55 2" xfId="156" xr:uid="{00B957C5-DC50-419F-AC15-F245B289EF3C}"/>
    <cellStyle name="Normal 56" xfId="157" xr:uid="{E00B0D54-7781-470D-9251-E2D8EDD317F5}"/>
    <cellStyle name="Normal 57" xfId="158" xr:uid="{2E812590-95E3-4846-9C2C-1CD21CED31CC}"/>
    <cellStyle name="Normal 58" xfId="159" xr:uid="{B9137DF1-7DE5-443F-A706-E4F274B3D5AE}"/>
    <cellStyle name="Normal 58 2" xfId="160" xr:uid="{ADC133D3-1407-430F-8922-6AE8036C24D4}"/>
    <cellStyle name="Normal 59" xfId="327" xr:uid="{A023618B-366B-474F-9F41-29313F8FDF2F}"/>
    <cellStyle name="Normal 6" xfId="69" xr:uid="{4CCE4CFA-C158-4DA6-AB26-2739DB9279E9}"/>
    <cellStyle name="Normal 6 2" xfId="162" xr:uid="{DF251EF1-BC2D-4343-9472-314DF1EF2DDF}"/>
    <cellStyle name="Normal 6 3" xfId="161" xr:uid="{A82A119C-4212-421C-BF1B-8FE71B810C64}"/>
    <cellStyle name="Normal 60" xfId="46" xr:uid="{00000000-0005-0000-0000-000023000000}"/>
    <cellStyle name="Normal 60 2" xfId="352" xr:uid="{BBAF52D7-E72F-4E85-839F-8821483FE460}"/>
    <cellStyle name="Normal 60 3" xfId="371" xr:uid="{B965D60D-F283-4E70-9A9B-34D9C3FFE2BE}"/>
    <cellStyle name="Normal 60 4" xfId="347" xr:uid="{D9B4FFCE-DE3B-4D72-A1B7-DB2B05D9750B}"/>
    <cellStyle name="Normal 61" xfId="163" xr:uid="{18D9AE7B-E9CB-4B06-AC79-0F89520D1FBF}"/>
    <cellStyle name="Normal 62" xfId="164" xr:uid="{E65CC6B0-5A37-4D9C-92B8-E35A3D7AC664}"/>
    <cellStyle name="Normal 63" xfId="165" xr:uid="{4C137F0F-C0EA-45B7-A839-D35418AABE1F}"/>
    <cellStyle name="Normal 64" xfId="166" xr:uid="{EBDEA7E6-BA12-4A52-8123-FA10D33C8EAF}"/>
    <cellStyle name="Normal 65" xfId="167" xr:uid="{DFF164FD-73B3-4502-A9B9-6AF0C00414F2}"/>
    <cellStyle name="Normal 66" xfId="168" xr:uid="{B5CAA85B-0D86-4426-856E-9D5BD827842D}"/>
    <cellStyle name="Normal 67" xfId="169" xr:uid="{4DEDC829-C893-4E59-9F69-F964AF12AB2F}"/>
    <cellStyle name="Normal 68" xfId="170" xr:uid="{EEFCF2F6-0D0E-461E-BB3E-F02F82125161}"/>
    <cellStyle name="Normal 69" xfId="171" xr:uid="{07D773E8-76E6-443F-A505-4FF96FF3A77E}"/>
    <cellStyle name="Normal 7" xfId="172" xr:uid="{39A10632-A389-45D2-8BAB-E6A7A8F99A5A}"/>
    <cellStyle name="Normal 7 2" xfId="173" xr:uid="{7947C0E9-3A58-492C-ACD5-2B89DF2780BB}"/>
    <cellStyle name="Normal 70" xfId="174" xr:uid="{DE527A71-DED4-4DD0-ABFB-7288B1AD8C13}"/>
    <cellStyle name="Normal 71" xfId="175" xr:uid="{077F7359-A014-450F-9816-B08AB288D28F}"/>
    <cellStyle name="Normal 72" xfId="176" xr:uid="{A23D6014-51EC-4E38-AE0A-74D985D03214}"/>
    <cellStyle name="Normal 73" xfId="177" xr:uid="{93EF25F0-6657-470F-977D-D982405430DB}"/>
    <cellStyle name="Normal 74" xfId="349" xr:uid="{0D92A787-E69C-4789-A105-51EAA5FBE1E7}"/>
    <cellStyle name="Normal 75" xfId="354" xr:uid="{B424C072-C823-4C9D-9585-A43DACB5A0D8}"/>
    <cellStyle name="Normal 76" xfId="372" xr:uid="{757E2306-818F-4CDF-A5A4-BE9737488E57}"/>
    <cellStyle name="Normal 77" xfId="49" xr:uid="{ADDC8F3A-229B-49E6-B3E7-E46FF1EDB7FE}"/>
    <cellStyle name="Normal 8" xfId="178" xr:uid="{A56FA80C-2FCA-404C-A10C-3532EC3DF525}"/>
    <cellStyle name="Normal 8 2" xfId="179" xr:uid="{775DF49E-98F3-49FB-ADD0-25939F0A192E}"/>
    <cellStyle name="Normal 9" xfId="180" xr:uid="{AE3D7B98-6DE6-4155-BDE4-D0751FC6722C}"/>
    <cellStyle name="Normal 9 2" xfId="181" xr:uid="{D3FF954E-2C0D-4AC3-9924-756417BC1C83}"/>
    <cellStyle name="Nota" xfId="33" builtinId="10" customBuiltin="1"/>
    <cellStyle name="Nota 2" xfId="70" xr:uid="{CD8F981C-B6B5-4EBE-8D8E-FEB8FC1FDD40}"/>
    <cellStyle name="Nota 2 2" xfId="305" xr:uid="{4998C5B4-9C93-4521-9811-013F8FB04C8B}"/>
    <cellStyle name="Nota 3" xfId="307" xr:uid="{BDDFCD16-5A42-4052-B690-B8F9D662B5A3}"/>
    <cellStyle name="Nota 4" xfId="328" xr:uid="{EEACE133-38AC-4862-BAE2-6D123BBAEC53}"/>
    <cellStyle name="Porcentagem 2" xfId="34" xr:uid="{00000000-0005-0000-0000-000025000000}"/>
    <cellStyle name="Porcentagem 2 2" xfId="369" xr:uid="{22344BD1-B726-48EB-8097-03AC9A50F3EA}"/>
    <cellStyle name="Porcentagem 2 3" xfId="182" xr:uid="{A59B5C25-6FF6-4ABB-88EC-EC60D69D2E1C}"/>
    <cellStyle name="Porcentagem 2 4" xfId="67" xr:uid="{EF3986E2-6DA8-48D3-A774-046C33F3D790}"/>
    <cellStyle name="Porcentagem 3" xfId="183" xr:uid="{58B6D03A-14CF-4764-AFBA-B8CA9A20E921}"/>
    <cellStyle name="Porcentagem 4" xfId="351" xr:uid="{D32C2848-DA55-479B-AE8B-CE28D5D779DB}"/>
    <cellStyle name="Porcentagem 5" xfId="59" xr:uid="{3635779B-BFC7-42DC-BB8A-24E272C76B8A}"/>
    <cellStyle name="Ruim" xfId="47" builtinId="27" customBuiltin="1"/>
    <cellStyle name="Saída" xfId="35" builtinId="21" customBuiltin="1"/>
    <cellStyle name="Separador de milhares [0] 2" xfId="184" xr:uid="{AA2B3BC7-33EC-4485-8641-C729EBB5FE14}"/>
    <cellStyle name="Separador de milhares [0] 2 2" xfId="185" xr:uid="{F1D0D673-E077-44D1-B84A-8E97584AA477}"/>
    <cellStyle name="Separador de milhares 10" xfId="186" xr:uid="{A6E4D16D-630E-4CB0-934D-800381C64434}"/>
    <cellStyle name="Separador de milhares 10 2" xfId="187" xr:uid="{D2CCA001-FF81-4DF1-8489-4352488F4F2B}"/>
    <cellStyle name="Separador de milhares 14" xfId="188" xr:uid="{BC4480BD-2719-4117-AB33-D7E80BBB5BBC}"/>
    <cellStyle name="Separador de milhares 14 2" xfId="189" xr:uid="{27044CC9-0B1B-498B-83CF-428C8DAF9E02}"/>
    <cellStyle name="Separador de milhares 16" xfId="190" xr:uid="{600AA008-7C73-4CAE-8B0C-EF02AB0C72F0}"/>
    <cellStyle name="Separador de milhares 16 2" xfId="191" xr:uid="{96EF6820-70A0-4014-9950-C003F06D859A}"/>
    <cellStyle name="Separador de milhares 18" xfId="192" xr:uid="{AAB940A8-E010-48E9-A034-9C48665FED0D}"/>
    <cellStyle name="Separador de milhares 18 2" xfId="193" xr:uid="{DD4ED5CE-4CE3-403A-A200-12EBA60A7773}"/>
    <cellStyle name="Separador de milhares 2" xfId="194" xr:uid="{DF78E8F3-07EA-4FB5-9097-DD79A74A562B}"/>
    <cellStyle name="Separador de milhares 2 10" xfId="195" xr:uid="{0BF4BDEC-9153-4ABD-AD45-8C38AFD0A9E7}"/>
    <cellStyle name="Separador de milhares 2 10 2" xfId="196" xr:uid="{0258B304-95FD-4FBD-A41D-5DD65C4010AA}"/>
    <cellStyle name="Separador de milhares 2 11" xfId="197" xr:uid="{9BC31FB7-74AE-4AE2-988A-520A3CC71E95}"/>
    <cellStyle name="Separador de milhares 2 11 2" xfId="198" xr:uid="{B91E18B1-4319-4CEB-B59D-DB8D9661BE92}"/>
    <cellStyle name="Separador de milhares 2 12" xfId="199" xr:uid="{8891B2A1-1E1B-4806-81FF-C7DFEB9AB15B}"/>
    <cellStyle name="Separador de milhares 2 12 2" xfId="200" xr:uid="{8D7F31AB-9702-4D41-A5A8-4A9B6AF3DDBA}"/>
    <cellStyle name="Separador de milhares 2 13" xfId="201" xr:uid="{DD677F0A-D4F0-4D0F-BE9D-E7077FB690FF}"/>
    <cellStyle name="Separador de milhares 2 13 2" xfId="202" xr:uid="{29B5002B-CF7D-45B2-9815-8CE9100F1B14}"/>
    <cellStyle name="Separador de milhares 2 14" xfId="203" xr:uid="{A59C40F4-20B4-494A-A19E-DD9320766251}"/>
    <cellStyle name="Separador de milhares 2 14 2" xfId="204" xr:uid="{462B2AAE-4816-4CD9-BB9B-E0915D905545}"/>
    <cellStyle name="Separador de milhares 2 15" xfId="205" xr:uid="{7CDFE928-9ED7-447B-BFF7-86CB162B6F6F}"/>
    <cellStyle name="Separador de milhares 2 15 2" xfId="206" xr:uid="{4529A383-4EB2-43EB-9B69-C32A40750695}"/>
    <cellStyle name="Separador de milhares 2 16" xfId="207" xr:uid="{02385BC8-765C-4AC3-B241-3CFEC5F6C8F1}"/>
    <cellStyle name="Separador de milhares 2 16 2" xfId="208" xr:uid="{3852E6DC-5FCD-43D2-A8DE-0E92913FE15F}"/>
    <cellStyle name="Separador de milhares 2 17" xfId="209" xr:uid="{80033C07-1C93-456D-81DF-AD756C22F91F}"/>
    <cellStyle name="Separador de milhares 2 17 2" xfId="210" xr:uid="{3DD27488-E867-4072-A8E7-F7BDA37EDE1A}"/>
    <cellStyle name="Separador de milhares 2 18" xfId="211" xr:uid="{2FDAF266-D606-4546-963E-83174AF13BCC}"/>
    <cellStyle name="Separador de milhares 2 18 2" xfId="212" xr:uid="{C49A80B8-78FB-4F18-9741-91F72190C52D}"/>
    <cellStyle name="Separador de milhares 2 19" xfId="213" xr:uid="{5067E6B4-43A3-45BA-8C99-C3559BEE8BBA}"/>
    <cellStyle name="Separador de milhares 2 19 2" xfId="214" xr:uid="{AE341C21-50E6-4EB0-9C68-CBDB71A33AE0}"/>
    <cellStyle name="Separador de milhares 2 2" xfId="215" xr:uid="{1BE03E99-17E3-4E54-A6FF-DD653B4BD012}"/>
    <cellStyle name="Separador de milhares 2 2 2" xfId="216" xr:uid="{1F464D32-89C0-45D0-B4CD-9BE7E5B54E62}"/>
    <cellStyle name="Separador de milhares 2 20" xfId="217" xr:uid="{0D89C0D3-CDB2-435D-8C95-1B87A6092B75}"/>
    <cellStyle name="Separador de milhares 2 20 2" xfId="218" xr:uid="{88A1C223-D7F4-413B-9382-DB27D3D2A580}"/>
    <cellStyle name="Separador de milhares 2 21" xfId="219" xr:uid="{066CE7FB-9D7E-40A8-8239-8EB336E922B4}"/>
    <cellStyle name="Separador de milhares 2 21 2" xfId="220" xr:uid="{AB60507F-7C58-4E76-A3E2-4C006DBAF78B}"/>
    <cellStyle name="Separador de milhares 2 22" xfId="221" xr:uid="{50A2ECD2-2DF4-42A0-9B58-773D751B07FB}"/>
    <cellStyle name="Separador de milhares 2 22 2" xfId="222" xr:uid="{536FB899-7AEC-47FC-BA05-CEBC6355C742}"/>
    <cellStyle name="Separador de milhares 2 23" xfId="223" xr:uid="{CF8B7DD4-9E0A-48C5-BFC8-48EB2F998960}"/>
    <cellStyle name="Separador de milhares 2 23 2" xfId="224" xr:uid="{A0BFE171-D381-487B-94EC-F3BABD8667CE}"/>
    <cellStyle name="Separador de milhares 2 24" xfId="225" xr:uid="{908138A5-D13F-46D5-8DE0-9F30519CA9BC}"/>
    <cellStyle name="Separador de milhares 2 24 2" xfId="226" xr:uid="{370E7D3A-7D1A-4F4A-B391-693AFE5134A5}"/>
    <cellStyle name="Separador de milhares 2 25" xfId="227" xr:uid="{2C24F08F-DA86-4718-BD74-37D1C4A392DF}"/>
    <cellStyle name="Separador de milhares 2 25 2" xfId="228" xr:uid="{7A734CB7-DE62-49F8-BDF6-314672C5FBA3}"/>
    <cellStyle name="Separador de milhares 2 26" xfId="229" xr:uid="{BB64FC42-FFE3-498D-985F-FE886A6834A0}"/>
    <cellStyle name="Separador de milhares 2 26 2" xfId="230" xr:uid="{8AEDF2D8-F749-4400-9832-7717E075C55A}"/>
    <cellStyle name="Separador de milhares 2 27" xfId="231" xr:uid="{5BAEA58B-90B5-4F89-BA74-285E62E5EA90}"/>
    <cellStyle name="Separador de milhares 2 27 2" xfId="232" xr:uid="{51E1E624-7067-4AC7-9B95-1A32A157EC86}"/>
    <cellStyle name="Separador de milhares 2 28" xfId="233" xr:uid="{5BC3A96E-751A-43B9-9CAF-217A6761B222}"/>
    <cellStyle name="Separador de milhares 2 28 2" xfId="234" xr:uid="{A7063A40-A2DE-47F9-9277-3DDCFBC3E7B9}"/>
    <cellStyle name="Separador de milhares 2 29" xfId="235" xr:uid="{0D83DE7A-623F-4C4F-AFB7-2F020CEB84F3}"/>
    <cellStyle name="Separador de milhares 2 29 2" xfId="236" xr:uid="{C3DB93D4-FF39-4FB9-B0FD-15AA7AAEF77B}"/>
    <cellStyle name="Separador de milhares 2 3" xfId="237" xr:uid="{7577D74C-F21A-415E-AF1D-181B1FDD0697}"/>
    <cellStyle name="Separador de milhares 2 3 2" xfId="238" xr:uid="{C3DA03F4-9B6B-4666-85CC-E505B0975C8D}"/>
    <cellStyle name="Separador de milhares 2 30" xfId="239" xr:uid="{FDE99CB9-17FC-4A39-8488-A5671B5294DA}"/>
    <cellStyle name="Separador de milhares 2 30 2" xfId="240" xr:uid="{40692A44-C56C-4DC0-87A1-17A4498CB599}"/>
    <cellStyle name="Separador de milhares 2 31" xfId="241" xr:uid="{6FF6B3CD-5A77-43ED-9B32-8B0E24E90632}"/>
    <cellStyle name="Separador de milhares 2 4" xfId="242" xr:uid="{31314C27-1875-4514-9C09-32127F9726F8}"/>
    <cellStyle name="Separador de milhares 2 4 2" xfId="243" xr:uid="{20AC3A12-50E7-4125-9668-E022A10700DA}"/>
    <cellStyle name="Separador de milhares 2 5" xfId="244" xr:uid="{B8A7A1AD-7C0B-4482-8D39-68E6A0833B94}"/>
    <cellStyle name="Separador de milhares 2 5 2" xfId="245" xr:uid="{2EFF27B6-D6AA-4471-B0EB-CBFA19AEC13D}"/>
    <cellStyle name="Separador de milhares 2 6" xfId="246" xr:uid="{31D906B4-5CC1-46DF-9E6E-A70ABB9728FB}"/>
    <cellStyle name="Separador de milhares 2 6 2" xfId="247" xr:uid="{D30CADC7-4CEB-4647-A50B-FCA4C1F5DD8F}"/>
    <cellStyle name="Separador de milhares 2 7" xfId="248" xr:uid="{478E081C-476E-4C48-9CAF-7AEC597ABEDD}"/>
    <cellStyle name="Separador de milhares 2 7 2" xfId="249" xr:uid="{95B0C832-DC3E-4E10-9ADA-EE11CC5A08A9}"/>
    <cellStyle name="Separador de milhares 2 8" xfId="250" xr:uid="{D8CA0556-ED52-4B10-8D74-9E098B221FA3}"/>
    <cellStyle name="Separador de milhares 2 8 2" xfId="251" xr:uid="{34CBB828-B1FC-4F50-9918-03FFEB188AE4}"/>
    <cellStyle name="Separador de milhares 2 9" xfId="252" xr:uid="{14C75594-98F1-4B97-A362-07C5F9B54FD1}"/>
    <cellStyle name="Separador de milhares 2 9 2" xfId="253" xr:uid="{DA97436C-9590-4470-A204-392C880935AF}"/>
    <cellStyle name="Separador de milhares 24" xfId="254" xr:uid="{22CDF094-9985-4E3B-A554-356324A32EE2}"/>
    <cellStyle name="Separador de milhares 24 2" xfId="255" xr:uid="{73371D05-FCF7-42BD-8C0B-E52BB1C1580D}"/>
    <cellStyle name="Separador de milhares 26" xfId="256" xr:uid="{91B64ADC-3D5A-457B-A36C-08C1A52729A7}"/>
    <cellStyle name="Separador de milhares 26 2" xfId="257" xr:uid="{1A99AEC3-41CB-4654-B0BB-D65D5FC842EB}"/>
    <cellStyle name="Separador de milhares 28" xfId="258" xr:uid="{88FC2D64-B4DD-4BA0-A25F-5CACEDCDA8FA}"/>
    <cellStyle name="Separador de milhares 28 2" xfId="259" xr:uid="{F10E1B5D-DE0E-4585-8B62-13722890A7B6}"/>
    <cellStyle name="Separador de milhares 3" xfId="260" xr:uid="{39F0D56C-FAF9-4A43-AEBF-7E059302EFA0}"/>
    <cellStyle name="Separador de milhares 3 2" xfId="261" xr:uid="{2533160A-3086-48CE-8B2D-68FD43F6A646}"/>
    <cellStyle name="Separador de milhares 4" xfId="262" xr:uid="{5B935589-20C6-4597-AAB8-E00BFB25B8ED}"/>
    <cellStyle name="Separador de milhares 4 2" xfId="263" xr:uid="{D534CE96-655B-4A6E-92EC-3C629CB70C7E}"/>
    <cellStyle name="Separador de milhares 5" xfId="264" xr:uid="{350E9316-7070-4214-90E0-F889C0E822FC}"/>
    <cellStyle name="Separador de milhares 5 2" xfId="265" xr:uid="{69E66CEB-D32F-4417-80F7-782142EDF651}"/>
    <cellStyle name="Separador de milhares 6" xfId="266" xr:uid="{6BBB9F3F-46AF-4B5B-AC1D-92149DE72BCF}"/>
    <cellStyle name="Separador de milhares 6 2" xfId="267" xr:uid="{D849D96D-3B4E-41E3-BF04-67A6ADD3A148}"/>
    <cellStyle name="Separador de milhares 7" xfId="268" xr:uid="{E847FE1A-1141-48C3-AC68-11B669F71E1C}"/>
    <cellStyle name="Separador de milhares 7 2" xfId="269" xr:uid="{6A424405-2DB2-4D8F-A2D4-17E29A948291}"/>
    <cellStyle name="Separador de milhares 8" xfId="270" xr:uid="{18DD5D01-B3BA-4620-88F1-D9BAA3A885D6}"/>
    <cellStyle name="Separador de milhares 8 2" xfId="271" xr:uid="{D299C9CC-25A2-4A14-AC2A-DEB6AF6118C0}"/>
    <cellStyle name="Separador de milhares 9" xfId="272" xr:uid="{AC5521D9-4F4F-4D9B-9C7F-EFA60247187A}"/>
    <cellStyle name="Separador de milhares 9 2" xfId="273" xr:uid="{ADD8ED1D-7C4D-448A-AE87-6FBC62738808}"/>
    <cellStyle name="Texto de Aviso" xfId="36" builtinId="11" customBuiltin="1"/>
    <cellStyle name="Texto Explicativo" xfId="37" builtinId="53" customBuiltin="1"/>
    <cellStyle name="Título" xfId="38" builtinId="15" customBuiltin="1"/>
    <cellStyle name="Título 1" xfId="39" builtinId="16" customBuiltin="1"/>
    <cellStyle name="Título 2" xfId="40" builtinId="17" customBuiltin="1"/>
    <cellStyle name="Título 3" xfId="41" builtinId="18" customBuiltin="1"/>
    <cellStyle name="Título 4" xfId="42" builtinId="19" customBuiltin="1"/>
    <cellStyle name="Total" xfId="43" builtinId="25" customBuiltin="1"/>
    <cellStyle name="Vírgula 2" xfId="274" xr:uid="{E9FB825E-A64C-4554-84DF-AD324B0E003F}"/>
    <cellStyle name="백분율 2" xfId="275" xr:uid="{0541BA93-9E78-407B-99D2-9A19C4BC7680}"/>
    <cellStyle name="쉼표 [0] 2" xfId="276" xr:uid="{45CCB5EE-76DA-47F2-B48C-8FDA915978DB}"/>
    <cellStyle name="쉼표 252" xfId="277" xr:uid="{2E8A352F-E283-420A-A406-9F6A2ABE562F}"/>
    <cellStyle name="쉼표 252 2" xfId="278" xr:uid="{1B2E7C6B-68AB-488D-B44C-F7D81FAA53D0}"/>
    <cellStyle name="표준 116 2 2 2" xfId="279" xr:uid="{F1A5ECA1-8D6C-4858-88FE-EDF5D4BEDF9E}"/>
    <cellStyle name="표준 2" xfId="280" xr:uid="{C6B7481A-2F6E-4277-BBF8-54AE3ADDCD6A}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66"/>
      <color rgb="FFFF5050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166687</xdr:colOff>
      <xdr:row>1</xdr:row>
      <xdr:rowOff>0</xdr:rowOff>
    </xdr:from>
    <xdr:to>
      <xdr:col>1</xdr:col>
      <xdr:colOff>0</xdr:colOff>
      <xdr:row>5</xdr:row>
      <xdr:rowOff>132483</xdr:rowOff>
    </xdr:to>
    <xdr:pic>
      <xdr:nvPicPr>
        <xdr:cNvPr id="2" name="Picture 4" descr="template_logo">
          <a:extLst>
            <a:ext uri="{FF2B5EF4-FFF2-40B4-BE49-F238E27FC236}">
              <a16:creationId xmlns:a16="http://schemas.microsoft.com/office/drawing/2014/main" id="{E71B50C4-82EC-454C-80AF-4C1A1FECF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2268" t="4206" r="836" b="86666"/>
        <a:stretch>
          <a:fillRect/>
        </a:stretch>
      </xdr:blipFill>
      <xdr:spPr bwMode="auto">
        <a:xfrm>
          <a:off x="357187" y="0"/>
          <a:ext cx="833438" cy="9182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S44"/>
  <sheetViews>
    <sheetView showGridLines="0" tabSelected="1" topLeftCell="B1" zoomScale="80" zoomScaleNormal="80" workbookViewId="0">
      <pane ySplit="7" topLeftCell="A11" activePane="bottomLeft" state="frozen"/>
      <selection pane="bottomLeft" activeCell="C2" sqref="C2"/>
    </sheetView>
  </sheetViews>
  <sheetFormatPr defaultColWidth="9.140625" defaultRowHeight="12.75"/>
  <cols>
    <col min="1" max="1" width="15" style="1" customWidth="1"/>
    <col min="2" max="2" width="3.42578125" style="2" customWidth="1"/>
    <col min="3" max="3" width="42.7109375" style="1" customWidth="1"/>
    <col min="4" max="4" width="12.7109375" style="1" customWidth="1"/>
    <col min="5" max="8" width="18.42578125" style="1" customWidth="1"/>
    <col min="9" max="9" width="17.28515625" style="1" customWidth="1"/>
    <col min="10" max="10" width="26.28515625" style="1" hidden="1" customWidth="1"/>
    <col min="11" max="11" width="14.28515625" style="1" hidden="1" customWidth="1"/>
    <col min="12" max="12" width="16.7109375" style="1" hidden="1" customWidth="1"/>
    <col min="13" max="13" width="14.28515625" style="1" hidden="1" customWidth="1"/>
    <col min="14" max="14" width="16.5703125" style="1" hidden="1" customWidth="1"/>
    <col min="15" max="15" width="14.28515625" style="1" hidden="1" customWidth="1"/>
    <col min="16" max="16" width="16.5703125" style="1" hidden="1" customWidth="1"/>
    <col min="17" max="17" width="14.28515625" style="1" hidden="1" customWidth="1"/>
    <col min="18" max="18" width="22.140625" style="1" hidden="1" customWidth="1"/>
    <col min="19" max="19" width="13.28515625" style="1" hidden="1" customWidth="1"/>
    <col min="20" max="20" width="9.140625" style="1" customWidth="1"/>
    <col min="21" max="16384" width="9.140625" style="1"/>
  </cols>
  <sheetData>
    <row r="1" spans="2:19">
      <c r="C1" s="10"/>
    </row>
    <row r="2" spans="2:19">
      <c r="C2" s="11" t="s">
        <v>84</v>
      </c>
    </row>
    <row r="3" spans="2:19" ht="15.75">
      <c r="C3" s="5" t="s">
        <v>85</v>
      </c>
      <c r="D3" s="4"/>
    </row>
    <row r="5" spans="2:19" ht="19.5">
      <c r="C5" s="15" t="s">
        <v>4</v>
      </c>
      <c r="D5" s="16"/>
      <c r="E5" s="16"/>
      <c r="F5" s="16"/>
      <c r="G5" s="16"/>
      <c r="H5" s="16"/>
      <c r="I5" s="16"/>
    </row>
    <row r="6" spans="2:19">
      <c r="B6" s="3"/>
      <c r="C6" s="17"/>
      <c r="D6" s="17"/>
      <c r="E6" s="17"/>
      <c r="F6" s="17"/>
      <c r="G6" s="17"/>
      <c r="H6" s="17"/>
      <c r="I6" s="17"/>
    </row>
    <row r="7" spans="2:19" ht="39.75" customHeight="1">
      <c r="B7" s="3"/>
      <c r="C7" s="18" t="s">
        <v>1</v>
      </c>
      <c r="D7" s="18" t="s">
        <v>0</v>
      </c>
      <c r="E7" s="19" t="s">
        <v>17</v>
      </c>
      <c r="F7" s="19" t="s">
        <v>3</v>
      </c>
      <c r="G7" s="19" t="s">
        <v>45</v>
      </c>
      <c r="H7" s="19" t="s">
        <v>2</v>
      </c>
      <c r="I7" s="19" t="s">
        <v>18</v>
      </c>
      <c r="J7" s="12" t="s">
        <v>17</v>
      </c>
      <c r="K7" s="12" t="s">
        <v>34</v>
      </c>
      <c r="L7" s="12" t="s">
        <v>3</v>
      </c>
      <c r="M7" s="12" t="s">
        <v>35</v>
      </c>
      <c r="N7" s="12" t="s">
        <v>45</v>
      </c>
      <c r="O7" s="12" t="s">
        <v>46</v>
      </c>
      <c r="P7" s="12" t="s">
        <v>2</v>
      </c>
      <c r="Q7" s="12" t="s">
        <v>36</v>
      </c>
      <c r="R7" s="12" t="s">
        <v>18</v>
      </c>
      <c r="S7" s="9" t="s">
        <v>37</v>
      </c>
    </row>
    <row r="8" spans="2:19">
      <c r="B8" s="3"/>
      <c r="C8" s="6" t="s">
        <v>69</v>
      </c>
      <c r="D8" s="6" t="s">
        <v>70</v>
      </c>
      <c r="E8" s="20">
        <v>100</v>
      </c>
      <c r="F8" s="20">
        <v>300</v>
      </c>
      <c r="G8" s="20">
        <v>350</v>
      </c>
      <c r="H8" s="20">
        <v>350</v>
      </c>
      <c r="I8" s="20">
        <v>400</v>
      </c>
      <c r="J8" s="1" t="e">
        <f>VLOOKUP(C8,'conferencia '!A:D,4,0)</f>
        <v>#N/A</v>
      </c>
      <c r="K8" s="1" t="e">
        <f>J8=E8</f>
        <v>#N/A</v>
      </c>
      <c r="L8" s="1" t="e">
        <f>VLOOKUP(C8,'conferencia '!A:F,6,0)</f>
        <v>#N/A</v>
      </c>
      <c r="M8" s="1" t="e">
        <f>L8=F8</f>
        <v>#N/A</v>
      </c>
      <c r="N8" s="1" t="e">
        <f>VLOOKUP(C8,'conferencia '!A:H,8,0)</f>
        <v>#N/A</v>
      </c>
      <c r="O8" s="1" t="e">
        <f>N8=G8</f>
        <v>#N/A</v>
      </c>
      <c r="P8" s="1" t="e">
        <f>VLOOKUP(C8,'conferencia '!A:J,10,0)</f>
        <v>#N/A</v>
      </c>
      <c r="Q8" s="1" t="e">
        <f>P8=H8</f>
        <v>#N/A</v>
      </c>
      <c r="R8" s="1" t="e">
        <f>VLOOKUP(C8,'conferencia '!A:L,12,0)</f>
        <v>#N/A</v>
      </c>
      <c r="S8" s="1" t="e">
        <f>R8=I8</f>
        <v>#N/A</v>
      </c>
    </row>
    <row r="9" spans="2:19">
      <c r="B9" s="3"/>
      <c r="C9" s="6" t="s">
        <v>26</v>
      </c>
      <c r="D9" s="6" t="s">
        <v>27</v>
      </c>
      <c r="E9" s="20">
        <v>100</v>
      </c>
      <c r="F9" s="20">
        <v>500</v>
      </c>
      <c r="G9" s="20">
        <v>550</v>
      </c>
      <c r="H9" s="20">
        <v>550</v>
      </c>
      <c r="I9" s="20">
        <v>600</v>
      </c>
      <c r="J9" s="1">
        <f>VLOOKUP(C9,'conferencia '!A:D,4,0)</f>
        <v>100</v>
      </c>
      <c r="K9" s="1" t="b">
        <f>J9=E9</f>
        <v>1</v>
      </c>
      <c r="L9" s="1">
        <f>VLOOKUP(C9,'conferencia '!A:F,6,0)</f>
        <v>500</v>
      </c>
      <c r="M9" s="1" t="b">
        <f>L9=F9</f>
        <v>1</v>
      </c>
      <c r="N9" s="1">
        <f>VLOOKUP(C9,'conferencia '!A:H,8,0)</f>
        <v>550</v>
      </c>
      <c r="O9" s="1" t="b">
        <f>N9=G9</f>
        <v>1</v>
      </c>
      <c r="P9" s="1">
        <f>VLOOKUP(C9,'conferencia '!A:J,10,0)</f>
        <v>550</v>
      </c>
      <c r="Q9" s="1" t="b">
        <f>P9=H9</f>
        <v>1</v>
      </c>
      <c r="R9" s="1">
        <f>VLOOKUP(C9,'conferencia '!A:L,12,0)</f>
        <v>600</v>
      </c>
      <c r="S9" s="1" t="b">
        <f>R9=I9</f>
        <v>1</v>
      </c>
    </row>
    <row r="10" spans="2:19">
      <c r="C10" s="6" t="s">
        <v>54</v>
      </c>
      <c r="D10" s="6" t="s">
        <v>55</v>
      </c>
      <c r="E10" s="20">
        <v>0</v>
      </c>
      <c r="F10" s="20">
        <v>250</v>
      </c>
      <c r="G10" s="20">
        <v>300</v>
      </c>
      <c r="H10" s="20">
        <v>300</v>
      </c>
      <c r="I10" s="20">
        <v>350</v>
      </c>
      <c r="J10" s="1" t="e">
        <f>VLOOKUP(C10,'conferencia '!A:D,4,0)</f>
        <v>#N/A</v>
      </c>
      <c r="K10" s="1" t="e">
        <f t="shared" ref="K10" si="0">J10=E10</f>
        <v>#N/A</v>
      </c>
      <c r="L10" s="1" t="e">
        <f>VLOOKUP(C10,'conferencia '!A:F,6,0)</f>
        <v>#N/A</v>
      </c>
      <c r="M10" s="1" t="e">
        <f t="shared" ref="M10" si="1">L10=F10</f>
        <v>#N/A</v>
      </c>
      <c r="N10" s="1" t="e">
        <f>VLOOKUP(C10,'conferencia '!A:H,8,0)</f>
        <v>#N/A</v>
      </c>
      <c r="O10" s="1" t="e">
        <f t="shared" ref="O10" si="2">N10=G10</f>
        <v>#N/A</v>
      </c>
      <c r="P10" s="1" t="e">
        <f>VLOOKUP(C10,'conferencia '!A:J,10,0)</f>
        <v>#N/A</v>
      </c>
      <c r="Q10" s="1" t="e">
        <f t="shared" ref="Q10" si="3">P10=H10</f>
        <v>#N/A</v>
      </c>
      <c r="R10" s="1" t="e">
        <f>VLOOKUP(C10,'conferencia '!A:L,12,0)</f>
        <v>#N/A</v>
      </c>
      <c r="S10" s="1" t="e">
        <f t="shared" ref="S10" si="4">R10=I10</f>
        <v>#N/A</v>
      </c>
    </row>
    <row r="11" spans="2:19">
      <c r="C11" s="6" t="s">
        <v>80</v>
      </c>
      <c r="D11" s="6" t="s">
        <v>81</v>
      </c>
      <c r="E11" s="20">
        <v>0</v>
      </c>
      <c r="F11" s="20">
        <v>400</v>
      </c>
      <c r="G11" s="20">
        <v>450</v>
      </c>
      <c r="H11" s="20">
        <v>450</v>
      </c>
      <c r="I11" s="20">
        <v>500</v>
      </c>
      <c r="J11" s="1" t="e">
        <f>VLOOKUP(C11,'conferencia '!A:D,4,0)</f>
        <v>#N/A</v>
      </c>
      <c r="K11" s="1" t="e">
        <f t="shared" ref="K11:K31" si="5">J11=E11</f>
        <v>#N/A</v>
      </c>
      <c r="L11" s="1" t="e">
        <f>VLOOKUP(C11,'conferencia '!A:F,6,0)</f>
        <v>#N/A</v>
      </c>
      <c r="M11" s="1" t="e">
        <f t="shared" ref="M11:M31" si="6">L11=F11</f>
        <v>#N/A</v>
      </c>
      <c r="N11" s="1" t="e">
        <f>VLOOKUP(C11,'conferencia '!A:H,8,0)</f>
        <v>#N/A</v>
      </c>
      <c r="O11" s="1" t="e">
        <f t="shared" ref="O11:O31" si="7">N11=G11</f>
        <v>#N/A</v>
      </c>
      <c r="P11" s="1" t="e">
        <f>VLOOKUP(C11,'conferencia '!A:J,10,0)</f>
        <v>#N/A</v>
      </c>
      <c r="Q11" s="1" t="e">
        <f t="shared" ref="Q11:Q31" si="8">P11=H11</f>
        <v>#N/A</v>
      </c>
      <c r="R11" s="1" t="e">
        <f>VLOOKUP(C11,'conferencia '!A:L,12,0)</f>
        <v>#N/A</v>
      </c>
      <c r="S11" s="1" t="e">
        <f t="shared" ref="S11:S31" si="9">R11=I11</f>
        <v>#N/A</v>
      </c>
    </row>
    <row r="12" spans="2:19">
      <c r="B12" s="3"/>
      <c r="C12" s="6" t="s">
        <v>5</v>
      </c>
      <c r="D12" s="6" t="s">
        <v>6</v>
      </c>
      <c r="E12" s="20">
        <v>0</v>
      </c>
      <c r="F12" s="20">
        <v>200</v>
      </c>
      <c r="G12" s="20">
        <v>250</v>
      </c>
      <c r="H12" s="20">
        <v>250</v>
      </c>
      <c r="I12" s="20">
        <v>300</v>
      </c>
      <c r="J12" s="1" t="e">
        <f>VLOOKUP(C12,'conferencia '!A:D,4,0)</f>
        <v>#N/A</v>
      </c>
      <c r="K12" s="1" t="e">
        <f t="shared" si="5"/>
        <v>#N/A</v>
      </c>
      <c r="L12" s="1" t="e">
        <f>VLOOKUP(C12,'conferencia '!A:F,6,0)</f>
        <v>#N/A</v>
      </c>
      <c r="M12" s="1" t="e">
        <f t="shared" si="6"/>
        <v>#N/A</v>
      </c>
      <c r="N12" s="1" t="e">
        <f>VLOOKUP(C12,'conferencia '!A:H,8,0)</f>
        <v>#N/A</v>
      </c>
      <c r="O12" s="1" t="e">
        <f t="shared" si="7"/>
        <v>#N/A</v>
      </c>
      <c r="P12" s="1" t="e">
        <f>VLOOKUP(C12,'conferencia '!A:J,10,0)</f>
        <v>#N/A</v>
      </c>
      <c r="Q12" s="1" t="e">
        <f t="shared" si="8"/>
        <v>#N/A</v>
      </c>
      <c r="R12" s="1" t="e">
        <f>VLOOKUP(C12,'conferencia '!A:L,12,0)</f>
        <v>#N/A</v>
      </c>
      <c r="S12" s="1" t="e">
        <f t="shared" si="9"/>
        <v>#N/A</v>
      </c>
    </row>
    <row r="13" spans="2:19">
      <c r="B13" s="3"/>
      <c r="C13" s="6" t="s">
        <v>28</v>
      </c>
      <c r="D13" s="6" t="s">
        <v>29</v>
      </c>
      <c r="E13" s="20">
        <v>150</v>
      </c>
      <c r="F13" s="20">
        <v>500</v>
      </c>
      <c r="G13" s="20">
        <v>600</v>
      </c>
      <c r="H13" s="20">
        <v>600</v>
      </c>
      <c r="I13" s="20">
        <v>700</v>
      </c>
      <c r="J13" s="1">
        <f>VLOOKUP(C13,'conferencia '!A:D,4,0)</f>
        <v>150</v>
      </c>
      <c r="K13" s="1" t="b">
        <f t="shared" si="5"/>
        <v>1</v>
      </c>
      <c r="L13" s="1">
        <f>VLOOKUP(C13,'conferencia '!A:F,6,0)</f>
        <v>500</v>
      </c>
      <c r="M13" s="1" t="b">
        <f t="shared" si="6"/>
        <v>1</v>
      </c>
      <c r="N13" s="1">
        <f>VLOOKUP(C13,'conferencia '!A:H,8,0)</f>
        <v>600</v>
      </c>
      <c r="O13" s="1" t="b">
        <f t="shared" si="7"/>
        <v>1</v>
      </c>
      <c r="P13" s="1">
        <f>VLOOKUP(C13,'conferencia '!A:J,10,0)</f>
        <v>600</v>
      </c>
      <c r="Q13" s="1" t="b">
        <f t="shared" si="8"/>
        <v>1</v>
      </c>
      <c r="R13" s="1">
        <f>VLOOKUP(C13,'conferencia '!A:L,12,0)</f>
        <v>700</v>
      </c>
      <c r="S13" s="1" t="b">
        <f t="shared" si="9"/>
        <v>1</v>
      </c>
    </row>
    <row r="14" spans="2:19">
      <c r="B14" s="3"/>
      <c r="C14" s="6" t="s">
        <v>40</v>
      </c>
      <c r="D14" s="6" t="s">
        <v>41</v>
      </c>
      <c r="E14" s="20">
        <v>150</v>
      </c>
      <c r="F14" s="20">
        <v>600</v>
      </c>
      <c r="G14" s="20">
        <v>650</v>
      </c>
      <c r="H14" s="20">
        <v>650</v>
      </c>
      <c r="I14" s="20">
        <v>650</v>
      </c>
      <c r="J14" s="1" t="e">
        <f>VLOOKUP(C14,'conferencia '!A:D,4,0)</f>
        <v>#N/A</v>
      </c>
      <c r="K14" s="1" t="e">
        <f t="shared" si="5"/>
        <v>#N/A</v>
      </c>
      <c r="L14" s="1" t="e">
        <f>VLOOKUP(C14,'conferencia '!A:F,6,0)</f>
        <v>#N/A</v>
      </c>
      <c r="M14" s="1" t="e">
        <f t="shared" si="6"/>
        <v>#N/A</v>
      </c>
      <c r="N14" s="1" t="e">
        <f>VLOOKUP(C14,'conferencia '!A:H,8,0)</f>
        <v>#N/A</v>
      </c>
      <c r="O14" s="1" t="e">
        <f t="shared" si="7"/>
        <v>#N/A</v>
      </c>
      <c r="P14" s="1" t="e">
        <f>VLOOKUP(C14,'conferencia '!A:J,10,0)</f>
        <v>#N/A</v>
      </c>
      <c r="Q14" s="1" t="e">
        <f t="shared" si="8"/>
        <v>#N/A</v>
      </c>
      <c r="R14" s="1" t="e">
        <f>VLOOKUP(C14,'conferencia '!A:L,12,0)</f>
        <v>#N/A</v>
      </c>
      <c r="S14" s="1" t="e">
        <f t="shared" si="9"/>
        <v>#N/A</v>
      </c>
    </row>
    <row r="15" spans="2:19">
      <c r="B15" s="3"/>
      <c r="C15" s="6" t="s">
        <v>64</v>
      </c>
      <c r="D15" s="6" t="s">
        <v>65</v>
      </c>
      <c r="E15" s="20">
        <v>100</v>
      </c>
      <c r="F15" s="20">
        <v>550</v>
      </c>
      <c r="G15" s="20">
        <v>600</v>
      </c>
      <c r="H15" s="20">
        <v>600</v>
      </c>
      <c r="I15" s="20">
        <v>700</v>
      </c>
      <c r="J15" s="1" t="e">
        <f>VLOOKUP(C15,'conferencia '!A:D,4,0)</f>
        <v>#N/A</v>
      </c>
      <c r="K15" s="1" t="e">
        <f t="shared" si="5"/>
        <v>#N/A</v>
      </c>
      <c r="L15" s="1" t="e">
        <f>VLOOKUP(C15,'conferencia '!A:F,6,0)</f>
        <v>#N/A</v>
      </c>
      <c r="M15" s="1" t="e">
        <f t="shared" si="6"/>
        <v>#N/A</v>
      </c>
      <c r="N15" s="1" t="e">
        <f>VLOOKUP(C15,'conferencia '!A:H,8,0)</f>
        <v>#N/A</v>
      </c>
      <c r="O15" s="1" t="e">
        <f t="shared" si="7"/>
        <v>#N/A</v>
      </c>
      <c r="P15" s="1" t="e">
        <f>VLOOKUP(C15,'conferencia '!A:J,10,0)</f>
        <v>#N/A</v>
      </c>
      <c r="Q15" s="1" t="e">
        <f t="shared" si="8"/>
        <v>#N/A</v>
      </c>
      <c r="R15" s="1" t="e">
        <f>VLOOKUP(C15,'conferencia '!A:L,12,0)</f>
        <v>#N/A</v>
      </c>
      <c r="S15" s="1" t="e">
        <f t="shared" si="9"/>
        <v>#N/A</v>
      </c>
    </row>
    <row r="16" spans="2:19">
      <c r="B16" s="3"/>
      <c r="C16" s="6" t="s">
        <v>42</v>
      </c>
      <c r="D16" s="6" t="s">
        <v>43</v>
      </c>
      <c r="E16" s="20">
        <v>150</v>
      </c>
      <c r="F16" s="20">
        <v>550</v>
      </c>
      <c r="G16" s="20">
        <v>700</v>
      </c>
      <c r="H16" s="20">
        <v>700</v>
      </c>
      <c r="I16" s="20">
        <v>750</v>
      </c>
      <c r="J16" s="1">
        <f>VLOOKUP(C16,'conferencia '!A:D,4,0)</f>
        <v>150</v>
      </c>
      <c r="K16" s="1" t="b">
        <f t="shared" si="5"/>
        <v>1</v>
      </c>
      <c r="L16" s="1">
        <f>VLOOKUP(C16,'conferencia '!A:F,6,0)</f>
        <v>550</v>
      </c>
      <c r="M16" s="1" t="b">
        <f t="shared" si="6"/>
        <v>1</v>
      </c>
      <c r="N16" s="1">
        <f>VLOOKUP(C16,'conferencia '!A:H,8,0)</f>
        <v>700</v>
      </c>
      <c r="O16" s="1" t="b">
        <f t="shared" si="7"/>
        <v>1</v>
      </c>
      <c r="P16" s="1">
        <f>VLOOKUP(C16,'conferencia '!A:J,10,0)</f>
        <v>700</v>
      </c>
      <c r="Q16" s="1" t="b">
        <f t="shared" si="8"/>
        <v>1</v>
      </c>
      <c r="R16" s="1">
        <f>VLOOKUP(C16,'conferencia '!A:L,12,0)</f>
        <v>750</v>
      </c>
      <c r="S16" s="1" t="b">
        <f t="shared" si="9"/>
        <v>1</v>
      </c>
    </row>
    <row r="17" spans="2:19">
      <c r="B17" s="3"/>
      <c r="C17" s="6" t="s">
        <v>66</v>
      </c>
      <c r="D17" s="6" t="s">
        <v>67</v>
      </c>
      <c r="E17" s="20">
        <v>150</v>
      </c>
      <c r="F17" s="20">
        <v>600</v>
      </c>
      <c r="G17" s="20">
        <v>850</v>
      </c>
      <c r="H17" s="20">
        <v>850</v>
      </c>
      <c r="I17" s="20">
        <v>750</v>
      </c>
      <c r="J17" s="1" t="e">
        <f>VLOOKUP(C17,'conferencia '!A:D,4,0)</f>
        <v>#N/A</v>
      </c>
      <c r="K17" s="1" t="e">
        <f t="shared" si="5"/>
        <v>#N/A</v>
      </c>
      <c r="L17" s="1" t="e">
        <f>VLOOKUP(C17,'conferencia '!A:F,6,0)</f>
        <v>#N/A</v>
      </c>
      <c r="M17" s="1" t="e">
        <f t="shared" si="6"/>
        <v>#N/A</v>
      </c>
      <c r="N17" s="1" t="e">
        <f>VLOOKUP(C17,'conferencia '!A:H,8,0)</f>
        <v>#N/A</v>
      </c>
      <c r="O17" s="1" t="e">
        <f t="shared" si="7"/>
        <v>#N/A</v>
      </c>
      <c r="P17" s="1" t="e">
        <f>VLOOKUP(C17,'conferencia '!A:J,10,0)</f>
        <v>#N/A</v>
      </c>
      <c r="Q17" s="1" t="e">
        <f t="shared" si="8"/>
        <v>#N/A</v>
      </c>
      <c r="R17" s="1" t="e">
        <f>VLOOKUP(C17,'conferencia '!A:L,12,0)</f>
        <v>#N/A</v>
      </c>
      <c r="S17" s="1" t="e">
        <f t="shared" si="9"/>
        <v>#N/A</v>
      </c>
    </row>
    <row r="18" spans="2:19">
      <c r="B18" s="3"/>
      <c r="C18" s="6" t="s">
        <v>15</v>
      </c>
      <c r="D18" s="6" t="s">
        <v>16</v>
      </c>
      <c r="E18" s="20">
        <v>150</v>
      </c>
      <c r="F18" s="20">
        <v>500</v>
      </c>
      <c r="G18" s="20">
        <v>650</v>
      </c>
      <c r="H18" s="20">
        <v>650</v>
      </c>
      <c r="I18" s="20">
        <v>800</v>
      </c>
      <c r="J18" s="1" t="e">
        <f>VLOOKUP(C18,'conferencia '!A:D,4,0)</f>
        <v>#N/A</v>
      </c>
      <c r="K18" s="1" t="e">
        <f t="shared" si="5"/>
        <v>#N/A</v>
      </c>
      <c r="L18" s="1" t="e">
        <f>VLOOKUP(C18,'conferencia '!A:F,6,0)</f>
        <v>#N/A</v>
      </c>
      <c r="M18" s="1" t="e">
        <f t="shared" si="6"/>
        <v>#N/A</v>
      </c>
      <c r="N18" s="1" t="e">
        <f>VLOOKUP(C18,'conferencia '!A:H,8,0)</f>
        <v>#N/A</v>
      </c>
      <c r="O18" s="1" t="e">
        <f t="shared" si="7"/>
        <v>#N/A</v>
      </c>
      <c r="P18" s="1" t="e">
        <f>VLOOKUP(C18,'conferencia '!A:J,10,0)</f>
        <v>#N/A</v>
      </c>
      <c r="Q18" s="1" t="e">
        <f t="shared" si="8"/>
        <v>#N/A</v>
      </c>
      <c r="R18" s="1" t="e">
        <f>VLOOKUP(C18,'conferencia '!A:L,12,0)</f>
        <v>#N/A</v>
      </c>
      <c r="S18" s="1" t="e">
        <f t="shared" si="9"/>
        <v>#N/A</v>
      </c>
    </row>
    <row r="19" spans="2:19">
      <c r="B19" s="3"/>
      <c r="C19" s="6" t="s">
        <v>12</v>
      </c>
      <c r="D19" s="6" t="s">
        <v>22</v>
      </c>
      <c r="E19" s="20">
        <v>150</v>
      </c>
      <c r="F19" s="20">
        <v>450</v>
      </c>
      <c r="G19" s="20">
        <v>600</v>
      </c>
      <c r="H19" s="20">
        <v>600</v>
      </c>
      <c r="I19" s="20">
        <v>700</v>
      </c>
      <c r="J19" s="1" t="e">
        <f>VLOOKUP(C19,'conferencia '!A:D,4,0)</f>
        <v>#N/A</v>
      </c>
      <c r="K19" s="1" t="e">
        <f t="shared" si="5"/>
        <v>#N/A</v>
      </c>
      <c r="L19" s="1" t="e">
        <f>VLOOKUP(C19,'conferencia '!A:F,6,0)</f>
        <v>#N/A</v>
      </c>
      <c r="M19" s="1" t="e">
        <f t="shared" si="6"/>
        <v>#N/A</v>
      </c>
      <c r="N19" s="1" t="e">
        <f>VLOOKUP(C19,'conferencia '!A:H,8,0)</f>
        <v>#N/A</v>
      </c>
      <c r="O19" s="1" t="e">
        <f t="shared" si="7"/>
        <v>#N/A</v>
      </c>
      <c r="P19" s="1" t="e">
        <f>VLOOKUP(C19,'conferencia '!A:J,10,0)</f>
        <v>#N/A</v>
      </c>
      <c r="Q19" s="1" t="e">
        <f t="shared" si="8"/>
        <v>#N/A</v>
      </c>
      <c r="R19" s="1" t="e">
        <f>VLOOKUP(C19,'conferencia '!A:L,12,0)</f>
        <v>#N/A</v>
      </c>
      <c r="S19" s="1" t="e">
        <f t="shared" si="9"/>
        <v>#N/A</v>
      </c>
    </row>
    <row r="20" spans="2:19">
      <c r="B20" s="3"/>
      <c r="C20" s="6" t="s">
        <v>7</v>
      </c>
      <c r="D20" s="6" t="s">
        <v>22</v>
      </c>
      <c r="E20" s="20">
        <v>200</v>
      </c>
      <c r="F20" s="20">
        <v>550</v>
      </c>
      <c r="G20" s="20">
        <v>600</v>
      </c>
      <c r="H20" s="20">
        <v>600</v>
      </c>
      <c r="I20" s="20">
        <v>800</v>
      </c>
      <c r="J20" s="1" t="e">
        <f>VLOOKUP(C20,'conferencia '!A:D,4,0)</f>
        <v>#N/A</v>
      </c>
      <c r="K20" s="1" t="e">
        <f t="shared" si="5"/>
        <v>#N/A</v>
      </c>
      <c r="L20" s="1" t="e">
        <f>VLOOKUP(C20,'conferencia '!A:F,6,0)</f>
        <v>#N/A</v>
      </c>
      <c r="M20" s="1" t="e">
        <f t="shared" si="6"/>
        <v>#N/A</v>
      </c>
      <c r="N20" s="1" t="e">
        <f>VLOOKUP(C20,'conferencia '!A:H,8,0)</f>
        <v>#N/A</v>
      </c>
      <c r="O20" s="1" t="e">
        <f t="shared" si="7"/>
        <v>#N/A</v>
      </c>
      <c r="P20" s="1" t="e">
        <f>VLOOKUP(C20,'conferencia '!A:J,10,0)</f>
        <v>#N/A</v>
      </c>
      <c r="Q20" s="1" t="e">
        <f t="shared" si="8"/>
        <v>#N/A</v>
      </c>
      <c r="R20" s="1" t="e">
        <f>VLOOKUP(C20,'conferencia '!A:L,12,0)</f>
        <v>#N/A</v>
      </c>
      <c r="S20" s="1" t="e">
        <f t="shared" si="9"/>
        <v>#N/A</v>
      </c>
    </row>
    <row r="21" spans="2:19">
      <c r="B21" s="3"/>
      <c r="C21" s="6" t="s">
        <v>13</v>
      </c>
      <c r="D21" s="6" t="s">
        <v>10</v>
      </c>
      <c r="E21" s="20">
        <v>200</v>
      </c>
      <c r="F21" s="20">
        <v>550</v>
      </c>
      <c r="G21" s="20">
        <v>600</v>
      </c>
      <c r="H21" s="20">
        <v>600</v>
      </c>
      <c r="I21" s="20">
        <v>800</v>
      </c>
      <c r="J21" s="1" t="e">
        <f>VLOOKUP(C21,'conferencia '!A:D,4,0)</f>
        <v>#N/A</v>
      </c>
      <c r="K21" s="1" t="e">
        <f t="shared" si="5"/>
        <v>#N/A</v>
      </c>
      <c r="L21" s="1" t="e">
        <f>VLOOKUP(C21,'conferencia '!A:F,6,0)</f>
        <v>#N/A</v>
      </c>
      <c r="M21" s="1" t="e">
        <f t="shared" si="6"/>
        <v>#N/A</v>
      </c>
      <c r="N21" s="1" t="e">
        <f>VLOOKUP(C21,'conferencia '!A:H,8,0)</f>
        <v>#N/A</v>
      </c>
      <c r="O21" s="1" t="e">
        <f t="shared" si="7"/>
        <v>#N/A</v>
      </c>
      <c r="P21" s="1" t="e">
        <f>VLOOKUP(C21,'conferencia '!A:J,10,0)</f>
        <v>#N/A</v>
      </c>
      <c r="Q21" s="1" t="e">
        <f t="shared" si="8"/>
        <v>#N/A</v>
      </c>
      <c r="R21" s="1" t="e">
        <f>VLOOKUP(C21,'conferencia '!A:L,12,0)</f>
        <v>#N/A</v>
      </c>
      <c r="S21" s="1" t="e">
        <f t="shared" si="9"/>
        <v>#N/A</v>
      </c>
    </row>
    <row r="22" spans="2:19">
      <c r="B22" s="3"/>
      <c r="C22" s="6" t="s">
        <v>8</v>
      </c>
      <c r="D22" s="6" t="s">
        <v>10</v>
      </c>
      <c r="E22" s="20">
        <v>200</v>
      </c>
      <c r="F22" s="20">
        <v>450</v>
      </c>
      <c r="G22" s="20">
        <v>500</v>
      </c>
      <c r="H22" s="20">
        <v>500</v>
      </c>
      <c r="I22" s="20">
        <v>750</v>
      </c>
      <c r="J22" s="1" t="e">
        <f>VLOOKUP(C22,'conferencia '!A:D,4,0)</f>
        <v>#N/A</v>
      </c>
      <c r="K22" s="1" t="e">
        <f t="shared" si="5"/>
        <v>#N/A</v>
      </c>
      <c r="L22" s="1" t="e">
        <f>VLOOKUP(C22,'conferencia '!A:F,6,0)</f>
        <v>#N/A</v>
      </c>
      <c r="M22" s="1" t="e">
        <f t="shared" si="6"/>
        <v>#N/A</v>
      </c>
      <c r="N22" s="1" t="e">
        <f>VLOOKUP(C22,'conferencia '!A:H,8,0)</f>
        <v>#N/A</v>
      </c>
      <c r="O22" s="1" t="e">
        <f t="shared" si="7"/>
        <v>#N/A</v>
      </c>
      <c r="P22" s="1" t="e">
        <f>VLOOKUP(C22,'conferencia '!A:J,10,0)</f>
        <v>#N/A</v>
      </c>
      <c r="Q22" s="1" t="e">
        <f t="shared" si="8"/>
        <v>#N/A</v>
      </c>
      <c r="R22" s="1" t="e">
        <f>VLOOKUP(C22,'conferencia '!A:L,12,0)</f>
        <v>#N/A</v>
      </c>
      <c r="S22" s="1" t="e">
        <f t="shared" si="9"/>
        <v>#N/A</v>
      </c>
    </row>
    <row r="23" spans="2:19">
      <c r="B23" s="3"/>
      <c r="C23" s="6" t="s">
        <v>9</v>
      </c>
      <c r="D23" s="6" t="s">
        <v>11</v>
      </c>
      <c r="E23" s="20">
        <v>150</v>
      </c>
      <c r="F23" s="20">
        <v>350</v>
      </c>
      <c r="G23" s="20">
        <v>400</v>
      </c>
      <c r="H23" s="20">
        <v>650</v>
      </c>
      <c r="I23" s="20">
        <v>800</v>
      </c>
      <c r="J23" s="1" t="e">
        <f>VLOOKUP(C23,'conferencia '!A:D,4,0)</f>
        <v>#N/A</v>
      </c>
      <c r="K23" s="1" t="e">
        <f t="shared" si="5"/>
        <v>#N/A</v>
      </c>
      <c r="L23" s="1" t="e">
        <f>VLOOKUP(C23,'conferencia '!A:F,6,0)</f>
        <v>#N/A</v>
      </c>
      <c r="M23" s="1" t="e">
        <f t="shared" si="6"/>
        <v>#N/A</v>
      </c>
      <c r="N23" s="1" t="e">
        <f>VLOOKUP(C23,'conferencia '!A:H,8,0)</f>
        <v>#N/A</v>
      </c>
      <c r="O23" s="1" t="e">
        <f t="shared" si="7"/>
        <v>#N/A</v>
      </c>
      <c r="P23" s="1" t="e">
        <f>VLOOKUP(C23,'conferencia '!A:J,10,0)</f>
        <v>#N/A</v>
      </c>
      <c r="Q23" s="1" t="e">
        <f t="shared" si="8"/>
        <v>#N/A</v>
      </c>
      <c r="R23" s="1" t="e">
        <f>VLOOKUP(C23,'conferencia '!A:L,12,0)</f>
        <v>#N/A</v>
      </c>
      <c r="S23" s="1" t="e">
        <f t="shared" si="9"/>
        <v>#N/A</v>
      </c>
    </row>
    <row r="24" spans="2:19">
      <c r="B24" s="3"/>
      <c r="C24" s="6" t="s">
        <v>52</v>
      </c>
      <c r="D24" s="6" t="s">
        <v>53</v>
      </c>
      <c r="E24" s="20">
        <v>200</v>
      </c>
      <c r="F24" s="20">
        <v>1000</v>
      </c>
      <c r="G24" s="20">
        <v>1200</v>
      </c>
      <c r="H24" s="20">
        <v>1200</v>
      </c>
      <c r="I24" s="20">
        <v>1400</v>
      </c>
      <c r="J24" s="1">
        <f>VLOOKUP(C24,'conferencia '!A:D,4,0)</f>
        <v>200</v>
      </c>
      <c r="K24" s="1" t="b">
        <f t="shared" si="5"/>
        <v>1</v>
      </c>
      <c r="L24" s="1">
        <f>VLOOKUP(C24,'conferencia '!A:F,6,0)</f>
        <v>1000</v>
      </c>
      <c r="M24" s="1" t="b">
        <f t="shared" si="6"/>
        <v>1</v>
      </c>
      <c r="N24" s="1">
        <f>VLOOKUP(C24,'conferencia '!A:H,8,0)</f>
        <v>1200</v>
      </c>
      <c r="O24" s="1" t="b">
        <f t="shared" si="7"/>
        <v>1</v>
      </c>
      <c r="P24" s="1">
        <f>VLOOKUP(C24,'conferencia '!A:J,10,0)</f>
        <v>1200</v>
      </c>
      <c r="Q24" s="1" t="b">
        <f t="shared" si="8"/>
        <v>1</v>
      </c>
      <c r="R24" s="1">
        <f>VLOOKUP(C24,'conferencia '!A:L,12,0)</f>
        <v>1400</v>
      </c>
      <c r="S24" s="1" t="b">
        <f t="shared" si="9"/>
        <v>1</v>
      </c>
    </row>
    <row r="25" spans="2:19">
      <c r="B25" s="3"/>
      <c r="C25" s="6" t="s">
        <v>19</v>
      </c>
      <c r="D25" s="6" t="s">
        <v>23</v>
      </c>
      <c r="E25" s="20">
        <v>150</v>
      </c>
      <c r="F25" s="20">
        <v>600</v>
      </c>
      <c r="G25" s="20">
        <v>800</v>
      </c>
      <c r="H25" s="20">
        <v>800</v>
      </c>
      <c r="I25" s="20">
        <v>1000</v>
      </c>
      <c r="J25" s="1" t="e">
        <f>VLOOKUP(C25,'conferencia '!A:D,4,0)</f>
        <v>#N/A</v>
      </c>
      <c r="K25" s="1" t="e">
        <f t="shared" si="5"/>
        <v>#N/A</v>
      </c>
      <c r="L25" s="1" t="e">
        <f>VLOOKUP(C25,'conferencia '!A:F,6,0)</f>
        <v>#N/A</v>
      </c>
      <c r="M25" s="1" t="e">
        <f t="shared" si="6"/>
        <v>#N/A</v>
      </c>
      <c r="N25" s="1" t="e">
        <f>VLOOKUP(C25,'conferencia '!A:H,8,0)</f>
        <v>#N/A</v>
      </c>
      <c r="O25" s="1" t="e">
        <f t="shared" si="7"/>
        <v>#N/A</v>
      </c>
      <c r="P25" s="1" t="e">
        <f>VLOOKUP(C25,'conferencia '!A:J,10,0)</f>
        <v>#N/A</v>
      </c>
      <c r="Q25" s="1" t="e">
        <f t="shared" si="8"/>
        <v>#N/A</v>
      </c>
      <c r="R25" s="1" t="e">
        <f>VLOOKUP(C25,'conferencia '!A:L,12,0)</f>
        <v>#N/A</v>
      </c>
      <c r="S25" s="1" t="e">
        <f t="shared" si="9"/>
        <v>#N/A</v>
      </c>
    </row>
    <row r="26" spans="2:19">
      <c r="B26" s="3"/>
      <c r="C26" s="6" t="s">
        <v>38</v>
      </c>
      <c r="D26" s="6" t="s">
        <v>24</v>
      </c>
      <c r="E26" s="20">
        <v>200</v>
      </c>
      <c r="F26" s="20">
        <v>800</v>
      </c>
      <c r="G26" s="20">
        <v>850</v>
      </c>
      <c r="H26" s="20">
        <v>850</v>
      </c>
      <c r="I26" s="20">
        <v>1100</v>
      </c>
      <c r="J26" s="1" t="e">
        <f>VLOOKUP(C26,'conferencia '!A:D,4,0)</f>
        <v>#N/A</v>
      </c>
      <c r="K26" s="1" t="e">
        <f t="shared" si="5"/>
        <v>#N/A</v>
      </c>
      <c r="L26" s="1" t="e">
        <f>VLOOKUP(C26,'conferencia '!A:F,6,0)</f>
        <v>#N/A</v>
      </c>
      <c r="M26" s="1" t="e">
        <f t="shared" si="6"/>
        <v>#N/A</v>
      </c>
      <c r="N26" s="1" t="e">
        <f>VLOOKUP(C26,'conferencia '!A:H,8,0)</f>
        <v>#N/A</v>
      </c>
      <c r="O26" s="1" t="e">
        <f t="shared" si="7"/>
        <v>#N/A</v>
      </c>
      <c r="P26" s="1" t="e">
        <f>VLOOKUP(C26,'conferencia '!A:J,10,0)</f>
        <v>#N/A</v>
      </c>
      <c r="Q26" s="1" t="e">
        <f t="shared" si="8"/>
        <v>#N/A</v>
      </c>
      <c r="R26" s="1" t="e">
        <f>VLOOKUP(C26,'conferencia '!A:L,12,0)</f>
        <v>#N/A</v>
      </c>
      <c r="S26" s="1" t="e">
        <f t="shared" si="9"/>
        <v>#N/A</v>
      </c>
    </row>
    <row r="27" spans="2:19">
      <c r="B27" s="3"/>
      <c r="C27" s="6" t="s">
        <v>20</v>
      </c>
      <c r="D27" s="6" t="s">
        <v>24</v>
      </c>
      <c r="E27" s="20">
        <v>200</v>
      </c>
      <c r="F27" s="20">
        <v>800</v>
      </c>
      <c r="G27" s="20">
        <v>850</v>
      </c>
      <c r="H27" s="20">
        <v>850</v>
      </c>
      <c r="I27" s="20">
        <v>1100</v>
      </c>
      <c r="J27" s="1">
        <f>VLOOKUP(C27,'conferencia '!A:D,4,0)</f>
        <v>200</v>
      </c>
      <c r="K27" s="1" t="b">
        <f t="shared" si="5"/>
        <v>1</v>
      </c>
      <c r="L27" s="1">
        <f>VLOOKUP(C27,'conferencia '!A:F,6,0)</f>
        <v>800</v>
      </c>
      <c r="M27" s="1" t="b">
        <f t="shared" si="6"/>
        <v>1</v>
      </c>
      <c r="N27" s="1">
        <f>VLOOKUP(C27,'conferencia '!A:H,8,0)</f>
        <v>850</v>
      </c>
      <c r="O27" s="1" t="b">
        <f t="shared" si="7"/>
        <v>1</v>
      </c>
      <c r="P27" s="1">
        <f>VLOOKUP(C27,'conferencia '!A:J,10,0)</f>
        <v>850</v>
      </c>
      <c r="Q27" s="1" t="b">
        <f t="shared" si="8"/>
        <v>1</v>
      </c>
      <c r="R27" s="1">
        <f>VLOOKUP(C27,'conferencia '!A:L,12,0)</f>
        <v>1100</v>
      </c>
      <c r="S27" s="1" t="b">
        <f t="shared" si="9"/>
        <v>1</v>
      </c>
    </row>
    <row r="28" spans="2:19">
      <c r="B28" s="3"/>
      <c r="C28" s="6" t="s">
        <v>39</v>
      </c>
      <c r="D28" s="6" t="s">
        <v>25</v>
      </c>
      <c r="E28" s="20">
        <v>200</v>
      </c>
      <c r="F28" s="20">
        <v>700</v>
      </c>
      <c r="G28" s="20">
        <v>800</v>
      </c>
      <c r="H28" s="20">
        <v>800</v>
      </c>
      <c r="I28" s="20">
        <v>900</v>
      </c>
      <c r="J28" s="1" t="e">
        <f>VLOOKUP(C28,'conferencia '!A:D,4,0)</f>
        <v>#N/A</v>
      </c>
      <c r="K28" s="1" t="e">
        <f t="shared" si="5"/>
        <v>#N/A</v>
      </c>
      <c r="L28" s="1" t="e">
        <f>VLOOKUP(C28,'conferencia '!A:F,6,0)</f>
        <v>#N/A</v>
      </c>
      <c r="M28" s="1" t="e">
        <f t="shared" si="6"/>
        <v>#N/A</v>
      </c>
      <c r="N28" s="1" t="e">
        <f>VLOOKUP(C28,'conferencia '!A:H,8,0)</f>
        <v>#N/A</v>
      </c>
      <c r="O28" s="1" t="e">
        <f t="shared" si="7"/>
        <v>#N/A</v>
      </c>
      <c r="P28" s="1" t="e">
        <f>VLOOKUP(C28,'conferencia '!A:J,10,0)</f>
        <v>#N/A</v>
      </c>
      <c r="Q28" s="1" t="e">
        <f t="shared" si="8"/>
        <v>#N/A</v>
      </c>
      <c r="R28" s="1" t="e">
        <f>VLOOKUP(C28,'conferencia '!A:L,12,0)</f>
        <v>#N/A</v>
      </c>
      <c r="S28" s="1" t="e">
        <f t="shared" si="9"/>
        <v>#N/A</v>
      </c>
    </row>
    <row r="29" spans="2:19">
      <c r="B29" s="3"/>
      <c r="C29" s="6" t="s">
        <v>21</v>
      </c>
      <c r="D29" s="6" t="s">
        <v>25</v>
      </c>
      <c r="E29" s="20">
        <v>200</v>
      </c>
      <c r="F29" s="20">
        <v>700</v>
      </c>
      <c r="G29" s="20">
        <v>900</v>
      </c>
      <c r="H29" s="20">
        <v>900</v>
      </c>
      <c r="I29" s="20">
        <v>1200</v>
      </c>
      <c r="J29" s="1">
        <f>VLOOKUP(C29,'conferencia '!A:D,4,0)</f>
        <v>200</v>
      </c>
      <c r="K29" s="1" t="b">
        <f t="shared" si="5"/>
        <v>1</v>
      </c>
      <c r="L29" s="1">
        <f>VLOOKUP(C29,'conferencia '!A:F,6,0)</f>
        <v>700</v>
      </c>
      <c r="M29" s="1" t="b">
        <f t="shared" si="6"/>
        <v>1</v>
      </c>
      <c r="N29" s="1">
        <f>VLOOKUP(C29,'conferencia '!A:H,8,0)</f>
        <v>900</v>
      </c>
      <c r="O29" s="1" t="b">
        <f t="shared" si="7"/>
        <v>1</v>
      </c>
      <c r="P29" s="1">
        <f>VLOOKUP(C29,'conferencia '!A:J,10,0)</f>
        <v>900</v>
      </c>
      <c r="Q29" s="1" t="b">
        <f t="shared" si="8"/>
        <v>1</v>
      </c>
      <c r="R29" s="1">
        <f>VLOOKUP(C29,'conferencia '!A:L,12,0)</f>
        <v>1200</v>
      </c>
      <c r="S29" s="1" t="b">
        <f t="shared" si="9"/>
        <v>1</v>
      </c>
    </row>
    <row r="30" spans="2:19">
      <c r="B30" s="3"/>
      <c r="C30" s="6" t="s">
        <v>82</v>
      </c>
      <c r="D30" s="6" t="s">
        <v>83</v>
      </c>
      <c r="E30" s="20">
        <v>0</v>
      </c>
      <c r="F30" s="20">
        <v>900</v>
      </c>
      <c r="G30" s="20">
        <v>1100</v>
      </c>
      <c r="H30" s="20">
        <v>1100</v>
      </c>
      <c r="I30" s="20">
        <v>1300</v>
      </c>
      <c r="J30" s="1" t="e">
        <f>VLOOKUP(C30,'conferencia '!A:D,4,0)</f>
        <v>#N/A</v>
      </c>
      <c r="K30" s="1" t="e">
        <f t="shared" si="5"/>
        <v>#N/A</v>
      </c>
      <c r="L30" s="1" t="e">
        <f>VLOOKUP(C30,'conferencia '!A:F,6,0)</f>
        <v>#N/A</v>
      </c>
      <c r="M30" s="1" t="e">
        <f t="shared" si="6"/>
        <v>#N/A</v>
      </c>
      <c r="N30" s="1" t="e">
        <f>VLOOKUP(C30,'conferencia '!A:H,8,0)</f>
        <v>#N/A</v>
      </c>
      <c r="O30" s="1" t="e">
        <f t="shared" si="7"/>
        <v>#N/A</v>
      </c>
      <c r="P30" s="1" t="e">
        <f>VLOOKUP(C30,'conferencia '!A:J,10,0)</f>
        <v>#N/A</v>
      </c>
      <c r="Q30" s="1" t="e">
        <f t="shared" si="8"/>
        <v>#N/A</v>
      </c>
      <c r="R30" s="1" t="e">
        <f>VLOOKUP(C30,'conferencia '!A:L,12,0)</f>
        <v>#N/A</v>
      </c>
      <c r="S30" s="1" t="e">
        <f t="shared" si="9"/>
        <v>#N/A</v>
      </c>
    </row>
    <row r="31" spans="2:19">
      <c r="B31" s="3"/>
      <c r="C31" s="6" t="s">
        <v>56</v>
      </c>
      <c r="D31" s="6" t="s">
        <v>57</v>
      </c>
      <c r="E31" s="20">
        <v>200</v>
      </c>
      <c r="F31" s="20">
        <v>1000</v>
      </c>
      <c r="G31" s="20">
        <v>1300</v>
      </c>
      <c r="H31" s="20">
        <v>1300</v>
      </c>
      <c r="I31" s="20">
        <v>1500</v>
      </c>
      <c r="J31" s="1" t="e">
        <f>VLOOKUP(C31,'conferencia '!A:D,4,0)</f>
        <v>#N/A</v>
      </c>
      <c r="K31" s="1" t="e">
        <f t="shared" si="5"/>
        <v>#N/A</v>
      </c>
      <c r="L31" s="1" t="e">
        <f>VLOOKUP(C31,'conferencia '!A:F,6,0)</f>
        <v>#N/A</v>
      </c>
      <c r="M31" s="1" t="e">
        <f t="shared" si="6"/>
        <v>#N/A</v>
      </c>
      <c r="N31" s="1" t="e">
        <f>VLOOKUP(C31,'conferencia '!A:H,8,0)</f>
        <v>#N/A</v>
      </c>
      <c r="O31" s="1" t="e">
        <f t="shared" si="7"/>
        <v>#N/A</v>
      </c>
      <c r="P31" s="1" t="e">
        <f>VLOOKUP(C31,'conferencia '!A:J,10,0)</f>
        <v>#N/A</v>
      </c>
      <c r="Q31" s="1" t="e">
        <f t="shared" si="8"/>
        <v>#N/A</v>
      </c>
      <c r="R31" s="1" t="e">
        <f>VLOOKUP(C31,'conferencia '!A:L,12,0)</f>
        <v>#N/A</v>
      </c>
      <c r="S31" s="1" t="e">
        <f t="shared" si="9"/>
        <v>#N/A</v>
      </c>
    </row>
    <row r="32" spans="2:19">
      <c r="B32" s="3"/>
      <c r="C32" s="6" t="s">
        <v>62</v>
      </c>
      <c r="D32" s="6" t="s">
        <v>59</v>
      </c>
      <c r="E32" s="20">
        <v>200</v>
      </c>
      <c r="F32" s="20">
        <v>1000</v>
      </c>
      <c r="G32" s="20">
        <v>1100</v>
      </c>
      <c r="H32" s="20">
        <v>1100</v>
      </c>
      <c r="I32" s="20">
        <v>1300</v>
      </c>
      <c r="J32" s="1" t="e">
        <f>VLOOKUP(C32,'conferencia '!A:D,4,0)</f>
        <v>#N/A</v>
      </c>
      <c r="K32" s="1" t="e">
        <f t="shared" ref="K32:K34" si="10">J32=E32</f>
        <v>#N/A</v>
      </c>
      <c r="L32" s="1" t="e">
        <f>VLOOKUP(C32,'conferencia '!A:F,6,0)</f>
        <v>#N/A</v>
      </c>
      <c r="M32" s="1" t="e">
        <f t="shared" ref="M32:M34" si="11">L32=F32</f>
        <v>#N/A</v>
      </c>
      <c r="N32" s="1" t="e">
        <f>VLOOKUP(C32,'conferencia '!A:H,8,0)</f>
        <v>#N/A</v>
      </c>
      <c r="O32" s="1" t="e">
        <f t="shared" ref="O32:O34" si="12">N32=G32</f>
        <v>#N/A</v>
      </c>
      <c r="P32" s="1" t="e">
        <f>VLOOKUP(C32,'conferencia '!A:J,10,0)</f>
        <v>#N/A</v>
      </c>
      <c r="Q32" s="1" t="e">
        <f t="shared" ref="Q32:Q34" si="13">P32=H32</f>
        <v>#N/A</v>
      </c>
      <c r="R32" s="1" t="e">
        <f>VLOOKUP(C32,'conferencia '!A:L,12,0)</f>
        <v>#N/A</v>
      </c>
      <c r="S32" s="1" t="e">
        <f t="shared" ref="S32:S34" si="14">R32=I32</f>
        <v>#N/A</v>
      </c>
    </row>
    <row r="33" spans="2:19">
      <c r="B33" s="3"/>
      <c r="C33" s="6" t="s">
        <v>58</v>
      </c>
      <c r="D33" s="6" t="s">
        <v>59</v>
      </c>
      <c r="E33" s="20">
        <v>150</v>
      </c>
      <c r="F33" s="20">
        <v>1000</v>
      </c>
      <c r="G33" s="20">
        <v>1150</v>
      </c>
      <c r="H33" s="20">
        <v>1150</v>
      </c>
      <c r="I33" s="20">
        <v>1400</v>
      </c>
      <c r="J33" s="1" t="e">
        <f>VLOOKUP(C33,'conferencia '!A:D,4,0)</f>
        <v>#N/A</v>
      </c>
      <c r="K33" s="1" t="e">
        <f t="shared" si="10"/>
        <v>#N/A</v>
      </c>
      <c r="L33" s="1" t="e">
        <f>VLOOKUP(C33,'conferencia '!A:F,6,0)</f>
        <v>#N/A</v>
      </c>
      <c r="M33" s="1" t="e">
        <f t="shared" si="11"/>
        <v>#N/A</v>
      </c>
      <c r="N33" s="1" t="e">
        <f>VLOOKUP(C33,'conferencia '!A:H,8,0)</f>
        <v>#N/A</v>
      </c>
      <c r="O33" s="1" t="e">
        <f t="shared" si="12"/>
        <v>#N/A</v>
      </c>
      <c r="P33" s="1" t="e">
        <f>VLOOKUP(C33,'conferencia '!A:J,10,0)</f>
        <v>#N/A</v>
      </c>
      <c r="Q33" s="1" t="e">
        <f t="shared" si="13"/>
        <v>#N/A</v>
      </c>
      <c r="R33" s="1" t="e">
        <f>VLOOKUP(C33,'conferencia '!A:L,12,0)</f>
        <v>#N/A</v>
      </c>
      <c r="S33" s="1" t="e">
        <f t="shared" si="14"/>
        <v>#N/A</v>
      </c>
    </row>
    <row r="34" spans="2:19">
      <c r="B34" s="3"/>
      <c r="C34" s="6" t="s">
        <v>63</v>
      </c>
      <c r="D34" s="6" t="s">
        <v>61</v>
      </c>
      <c r="E34" s="20">
        <v>100</v>
      </c>
      <c r="F34" s="20">
        <v>1200</v>
      </c>
      <c r="G34" s="20">
        <v>1300</v>
      </c>
      <c r="H34" s="20">
        <v>1300</v>
      </c>
      <c r="I34" s="20">
        <v>1400</v>
      </c>
      <c r="J34" s="1" t="e">
        <f>VLOOKUP(C34,'conferencia '!A:D,4,0)</f>
        <v>#N/A</v>
      </c>
      <c r="K34" s="1" t="e">
        <f t="shared" si="10"/>
        <v>#N/A</v>
      </c>
      <c r="L34" s="1" t="e">
        <f>VLOOKUP(C34,'conferencia '!A:F,6,0)</f>
        <v>#N/A</v>
      </c>
      <c r="M34" s="1" t="e">
        <f t="shared" si="11"/>
        <v>#N/A</v>
      </c>
      <c r="N34" s="1" t="e">
        <f>VLOOKUP(C34,'conferencia '!A:H,8,0)</f>
        <v>#N/A</v>
      </c>
      <c r="O34" s="1" t="e">
        <f t="shared" si="12"/>
        <v>#N/A</v>
      </c>
      <c r="P34" s="1" t="e">
        <f>VLOOKUP(C34,'conferencia '!A:J,10,0)</f>
        <v>#N/A</v>
      </c>
      <c r="Q34" s="1" t="e">
        <f t="shared" si="13"/>
        <v>#N/A</v>
      </c>
      <c r="R34" s="1" t="e">
        <f>VLOOKUP(C34,'conferencia '!A:L,12,0)</f>
        <v>#N/A</v>
      </c>
      <c r="S34" s="1" t="e">
        <f t="shared" si="14"/>
        <v>#N/A</v>
      </c>
    </row>
    <row r="35" spans="2:19">
      <c r="B35" s="3"/>
      <c r="C35" s="6" t="s">
        <v>60</v>
      </c>
      <c r="D35" s="6" t="s">
        <v>61</v>
      </c>
      <c r="E35" s="20">
        <v>200</v>
      </c>
      <c r="F35" s="20">
        <v>1300</v>
      </c>
      <c r="G35" s="20">
        <v>1400</v>
      </c>
      <c r="H35" s="20">
        <v>1400</v>
      </c>
      <c r="I35" s="20">
        <v>1600</v>
      </c>
      <c r="J35" s="1" t="e">
        <f>VLOOKUP(C35,'conferencia '!A:D,4,0)</f>
        <v>#N/A</v>
      </c>
      <c r="K35" s="1" t="e">
        <f t="shared" ref="K35" si="15">J35=E35</f>
        <v>#N/A</v>
      </c>
      <c r="L35" s="1" t="e">
        <f>VLOOKUP(C35,'conferencia '!A:F,6,0)</f>
        <v>#N/A</v>
      </c>
      <c r="M35" s="1" t="e">
        <f t="shared" ref="M35" si="16">L35=F35</f>
        <v>#N/A</v>
      </c>
      <c r="N35" s="1" t="e">
        <f>VLOOKUP(C35,'conferencia '!A:H,8,0)</f>
        <v>#N/A</v>
      </c>
      <c r="O35" s="1" t="e">
        <f t="shared" ref="O35" si="17">N35=G35</f>
        <v>#N/A</v>
      </c>
      <c r="P35" s="1" t="e">
        <f>VLOOKUP(C35,'conferencia '!A:J,10,0)</f>
        <v>#N/A</v>
      </c>
      <c r="Q35" s="1" t="e">
        <f t="shared" ref="Q35" si="18">P35=H35</f>
        <v>#N/A</v>
      </c>
      <c r="R35" s="1" t="e">
        <f>VLOOKUP(C35,'conferencia '!A:L,12,0)</f>
        <v>#N/A</v>
      </c>
      <c r="S35" s="1" t="e">
        <f t="shared" ref="S35" si="19">R35=I35</f>
        <v>#N/A</v>
      </c>
    </row>
    <row r="36" spans="2:19">
      <c r="B36" s="3"/>
      <c r="C36" s="6" t="s">
        <v>71</v>
      </c>
      <c r="D36" s="6" t="s">
        <v>68</v>
      </c>
      <c r="E36" s="20">
        <v>150</v>
      </c>
      <c r="F36" s="20">
        <v>1100</v>
      </c>
      <c r="G36" s="20">
        <v>1200</v>
      </c>
      <c r="H36" s="20">
        <v>1200</v>
      </c>
      <c r="I36" s="20">
        <v>1600</v>
      </c>
      <c r="J36" s="1" t="e">
        <f>VLOOKUP(C36,'conferencia '!A:D,4,0)</f>
        <v>#N/A</v>
      </c>
      <c r="K36" s="1" t="e">
        <f t="shared" ref="K36" si="20">J36=E36</f>
        <v>#N/A</v>
      </c>
      <c r="L36" s="1" t="e">
        <f>VLOOKUP(C36,'conferencia '!A:F,6,0)</f>
        <v>#N/A</v>
      </c>
      <c r="M36" s="1" t="e">
        <f t="shared" ref="M36" si="21">L36=F36</f>
        <v>#N/A</v>
      </c>
      <c r="N36" s="1" t="e">
        <f>VLOOKUP(C36,'conferencia '!A:H,8,0)</f>
        <v>#N/A</v>
      </c>
      <c r="O36" s="1" t="e">
        <f t="shared" ref="O36" si="22">N36=G36</f>
        <v>#N/A</v>
      </c>
      <c r="P36" s="1" t="e">
        <f>VLOOKUP(C36,'conferencia '!A:J,10,0)</f>
        <v>#N/A</v>
      </c>
      <c r="Q36" s="1" t="e">
        <f t="shared" ref="Q36" si="23">P36=H36</f>
        <v>#N/A</v>
      </c>
      <c r="R36" s="1" t="e">
        <f>VLOOKUP(C36,'conferencia '!A:L,12,0)</f>
        <v>#N/A</v>
      </c>
      <c r="S36" s="1" t="e">
        <f t="shared" ref="S36" si="24">R36=I36</f>
        <v>#N/A</v>
      </c>
    </row>
    <row r="37" spans="2:19">
      <c r="B37" s="3"/>
      <c r="C37" s="6" t="s">
        <v>47</v>
      </c>
      <c r="D37" s="6" t="s">
        <v>48</v>
      </c>
      <c r="E37" s="20">
        <v>150</v>
      </c>
      <c r="F37" s="20">
        <v>700</v>
      </c>
      <c r="G37" s="20">
        <v>900</v>
      </c>
      <c r="H37" s="20">
        <v>900</v>
      </c>
      <c r="I37" s="20">
        <v>1300</v>
      </c>
      <c r="J37" s="1">
        <f>VLOOKUP(C37,'conferencia '!A:D,4,0)</f>
        <v>150</v>
      </c>
      <c r="K37" s="1" t="b">
        <f t="shared" ref="K37:K39" si="25">J37=E37</f>
        <v>1</v>
      </c>
      <c r="L37" s="1">
        <f>VLOOKUP(C37,'conferencia '!A:F,6,0)</f>
        <v>700</v>
      </c>
      <c r="M37" s="1" t="b">
        <f t="shared" ref="M37:M39" si="26">L37=F37</f>
        <v>1</v>
      </c>
      <c r="N37" s="1">
        <f>VLOOKUP(C37,'conferencia '!A:H,8,0)</f>
        <v>900</v>
      </c>
      <c r="O37" s="1" t="b">
        <f t="shared" ref="O37:O39" si="27">N37=G37</f>
        <v>1</v>
      </c>
      <c r="P37" s="1">
        <f>VLOOKUP(C37,'conferencia '!A:J,10,0)</f>
        <v>900</v>
      </c>
      <c r="Q37" s="1" t="b">
        <f t="shared" ref="Q37:Q39" si="28">P37=H37</f>
        <v>1</v>
      </c>
      <c r="R37" s="1">
        <f>VLOOKUP(C37,'conferencia '!A:L,12,0)</f>
        <v>1300</v>
      </c>
      <c r="S37" s="1" t="b">
        <f t="shared" ref="S37:S39" si="29">R37=I37</f>
        <v>1</v>
      </c>
    </row>
    <row r="38" spans="2:19">
      <c r="B38" s="3"/>
      <c r="C38" s="6" t="s">
        <v>49</v>
      </c>
      <c r="D38" s="6" t="s">
        <v>50</v>
      </c>
      <c r="E38" s="20">
        <v>200</v>
      </c>
      <c r="F38" s="20">
        <v>800</v>
      </c>
      <c r="G38" s="20">
        <v>900</v>
      </c>
      <c r="H38" s="20">
        <v>900</v>
      </c>
      <c r="I38" s="20">
        <v>1300</v>
      </c>
      <c r="J38" s="1">
        <f>VLOOKUP(C38,'conferencia '!A:D,4,0)</f>
        <v>200</v>
      </c>
      <c r="K38" s="1" t="b">
        <f t="shared" si="25"/>
        <v>1</v>
      </c>
      <c r="L38" s="1">
        <f>VLOOKUP(C38,'conferencia '!A:F,6,0)</f>
        <v>800</v>
      </c>
      <c r="M38" s="1" t="b">
        <f t="shared" si="26"/>
        <v>1</v>
      </c>
      <c r="N38" s="1">
        <f>VLOOKUP(C38,'conferencia '!A:H,8,0)</f>
        <v>900</v>
      </c>
      <c r="O38" s="1" t="b">
        <f t="shared" si="27"/>
        <v>1</v>
      </c>
      <c r="P38" s="1">
        <f>VLOOKUP(C38,'conferencia '!A:J,10,0)</f>
        <v>900</v>
      </c>
      <c r="Q38" s="1" t="b">
        <f t="shared" si="28"/>
        <v>1</v>
      </c>
      <c r="R38" s="1">
        <f>VLOOKUP(C38,'conferencia '!A:L,12,0)</f>
        <v>1300</v>
      </c>
      <c r="S38" s="1" t="b">
        <f t="shared" si="29"/>
        <v>1</v>
      </c>
    </row>
    <row r="39" spans="2:19">
      <c r="B39" s="3"/>
      <c r="C39" s="6" t="s">
        <v>51</v>
      </c>
      <c r="D39" s="6" t="s">
        <v>50</v>
      </c>
      <c r="E39" s="20">
        <v>200</v>
      </c>
      <c r="F39" s="20">
        <v>900</v>
      </c>
      <c r="G39" s="21">
        <v>1000</v>
      </c>
      <c r="H39" s="21">
        <v>1000</v>
      </c>
      <c r="I39" s="21">
        <v>1200</v>
      </c>
      <c r="J39" s="1">
        <f>VLOOKUP(C39,'conferencia '!A:D,4,0)</f>
        <v>200</v>
      </c>
      <c r="K39" s="1" t="b">
        <f t="shared" si="25"/>
        <v>1</v>
      </c>
      <c r="L39" s="1">
        <f>VLOOKUP(C39,'conferencia '!A:F,6,0)</f>
        <v>900</v>
      </c>
      <c r="M39" s="1" t="b">
        <f t="shared" si="26"/>
        <v>1</v>
      </c>
      <c r="N39" s="1">
        <f>VLOOKUP(C39,'conferencia '!A:H,8,0)</f>
        <v>1000</v>
      </c>
      <c r="O39" s="1" t="b">
        <f t="shared" si="27"/>
        <v>1</v>
      </c>
      <c r="P39" s="1">
        <f>VLOOKUP(C39,'conferencia '!A:J,10,0)</f>
        <v>1000</v>
      </c>
      <c r="Q39" s="1" t="b">
        <f t="shared" si="28"/>
        <v>1</v>
      </c>
      <c r="R39" s="1">
        <f>VLOOKUP(C39,'conferencia '!A:L,12,0)</f>
        <v>1200</v>
      </c>
      <c r="S39" s="1" t="b">
        <f t="shared" si="29"/>
        <v>1</v>
      </c>
    </row>
    <row r="40" spans="2:19">
      <c r="B40" s="3"/>
      <c r="C40" s="6" t="s">
        <v>75</v>
      </c>
      <c r="D40" s="6" t="s">
        <v>76</v>
      </c>
      <c r="E40" s="20">
        <v>200</v>
      </c>
      <c r="F40" s="20">
        <v>1100</v>
      </c>
      <c r="G40" s="20">
        <v>1200</v>
      </c>
      <c r="H40" s="20">
        <v>1200</v>
      </c>
      <c r="I40" s="20">
        <v>1400</v>
      </c>
      <c r="J40" s="1" t="e">
        <f>VLOOKUP(C40,'conferencia '!A:D,4,0)</f>
        <v>#N/A</v>
      </c>
      <c r="K40" s="1" t="e">
        <f t="shared" ref="K40" si="30">J40=E40</f>
        <v>#N/A</v>
      </c>
      <c r="L40" s="1" t="e">
        <f>VLOOKUP(C40,'conferencia '!A:F,6,0)</f>
        <v>#N/A</v>
      </c>
      <c r="M40" s="1" t="e">
        <f t="shared" ref="M40" si="31">L40=F40</f>
        <v>#N/A</v>
      </c>
      <c r="N40" s="1" t="e">
        <f>VLOOKUP(C40,'conferencia '!A:H,8,0)</f>
        <v>#N/A</v>
      </c>
      <c r="O40" s="1" t="e">
        <f t="shared" ref="O40" si="32">N40=G40</f>
        <v>#N/A</v>
      </c>
      <c r="P40" s="1" t="e">
        <f>VLOOKUP(C40,'conferencia '!A:J,10,0)</f>
        <v>#N/A</v>
      </c>
      <c r="Q40" s="1" t="e">
        <f t="shared" ref="Q40" si="33">P40=H40</f>
        <v>#N/A</v>
      </c>
      <c r="R40" s="1" t="e">
        <f>VLOOKUP(C40,'conferencia '!A:L,12,0)</f>
        <v>#N/A</v>
      </c>
      <c r="S40" s="1" t="e">
        <f t="shared" ref="S40" si="34">R40=I40</f>
        <v>#N/A</v>
      </c>
    </row>
    <row r="41" spans="2:19">
      <c r="B41" s="3"/>
      <c r="C41" s="6" t="s">
        <v>78</v>
      </c>
      <c r="D41" s="6" t="s">
        <v>73</v>
      </c>
      <c r="E41" s="20">
        <v>200</v>
      </c>
      <c r="F41" s="20">
        <v>1200</v>
      </c>
      <c r="G41" s="20">
        <v>1400</v>
      </c>
      <c r="H41" s="20">
        <v>1400</v>
      </c>
      <c r="I41" s="20">
        <v>1500</v>
      </c>
      <c r="J41" s="1">
        <f>VLOOKUP(C41,'conferencia '!A:D,4,0)</f>
        <v>200</v>
      </c>
      <c r="K41" s="1" t="b">
        <f t="shared" ref="K41:K43" si="35">J41=E41</f>
        <v>1</v>
      </c>
      <c r="L41" s="1">
        <f>VLOOKUP(C41,'conferencia '!A:F,6,0)</f>
        <v>1200</v>
      </c>
      <c r="M41" s="1" t="b">
        <f t="shared" ref="M41:M43" si="36">L41=F41</f>
        <v>1</v>
      </c>
      <c r="N41" s="1">
        <f>VLOOKUP(C41,'conferencia '!A:H,8,0)</f>
        <v>1400</v>
      </c>
      <c r="O41" s="1" t="b">
        <f t="shared" ref="O41:O43" si="37">N41=G41</f>
        <v>1</v>
      </c>
      <c r="P41" s="1">
        <f>VLOOKUP(C41,'conferencia '!A:J,10,0)</f>
        <v>1400</v>
      </c>
      <c r="Q41" s="1" t="b">
        <f t="shared" ref="Q41:Q43" si="38">P41=H41</f>
        <v>1</v>
      </c>
      <c r="R41" s="1">
        <f>VLOOKUP(C41,'conferencia '!A:L,12,0)</f>
        <v>1500</v>
      </c>
      <c r="S41" s="1" t="b">
        <f t="shared" ref="S41:S43" si="39">R41=I41</f>
        <v>1</v>
      </c>
    </row>
    <row r="42" spans="2:19">
      <c r="B42" s="3"/>
      <c r="C42" s="6" t="s">
        <v>72</v>
      </c>
      <c r="D42" s="6" t="s">
        <v>73</v>
      </c>
      <c r="E42" s="20">
        <v>200</v>
      </c>
      <c r="F42" s="20">
        <v>1300</v>
      </c>
      <c r="G42" s="20">
        <v>1400</v>
      </c>
      <c r="H42" s="20">
        <v>1400</v>
      </c>
      <c r="I42" s="20">
        <v>1500</v>
      </c>
      <c r="J42" s="1" t="e">
        <f>VLOOKUP(C42,'conferencia '!A:D,4,0)</f>
        <v>#N/A</v>
      </c>
      <c r="K42" s="1" t="e">
        <f t="shared" si="35"/>
        <v>#N/A</v>
      </c>
      <c r="L42" s="1" t="e">
        <f>VLOOKUP(C42,'conferencia '!A:F,6,0)</f>
        <v>#N/A</v>
      </c>
      <c r="M42" s="1" t="e">
        <f t="shared" si="36"/>
        <v>#N/A</v>
      </c>
      <c r="N42" s="1" t="e">
        <f>VLOOKUP(C42,'conferencia '!A:H,8,0)</f>
        <v>#N/A</v>
      </c>
      <c r="O42" s="1" t="e">
        <f t="shared" si="37"/>
        <v>#N/A</v>
      </c>
      <c r="P42" s="1" t="e">
        <f>VLOOKUP(C42,'conferencia '!A:J,10,0)</f>
        <v>#N/A</v>
      </c>
      <c r="Q42" s="1" t="e">
        <f t="shared" si="38"/>
        <v>#N/A</v>
      </c>
      <c r="R42" s="1" t="e">
        <f>VLOOKUP(C42,'conferencia '!A:L,12,0)</f>
        <v>#N/A</v>
      </c>
      <c r="S42" s="1" t="e">
        <f t="shared" si="39"/>
        <v>#N/A</v>
      </c>
    </row>
    <row r="43" spans="2:19">
      <c r="B43" s="3"/>
      <c r="C43" s="6" t="s">
        <v>79</v>
      </c>
      <c r="D43" s="6" t="s">
        <v>74</v>
      </c>
      <c r="E43" s="20">
        <v>200</v>
      </c>
      <c r="F43" s="20">
        <v>1300</v>
      </c>
      <c r="G43" s="20">
        <v>1400</v>
      </c>
      <c r="H43" s="20">
        <v>1400</v>
      </c>
      <c r="I43" s="20">
        <v>1800</v>
      </c>
      <c r="J43" s="1" t="e">
        <f>VLOOKUP(C43,'conferencia '!A:D,4,0)</f>
        <v>#N/A</v>
      </c>
      <c r="K43" s="1" t="e">
        <f t="shared" si="35"/>
        <v>#N/A</v>
      </c>
      <c r="L43" s="1" t="e">
        <f>VLOOKUP(C43,'conferencia '!A:F,6,0)</f>
        <v>#N/A</v>
      </c>
      <c r="M43" s="1" t="e">
        <f t="shared" si="36"/>
        <v>#N/A</v>
      </c>
      <c r="N43" s="1" t="e">
        <f>VLOOKUP(C43,'conferencia '!A:H,8,0)</f>
        <v>#N/A</v>
      </c>
      <c r="O43" s="1" t="e">
        <f t="shared" si="37"/>
        <v>#N/A</v>
      </c>
      <c r="P43" s="1" t="e">
        <f>VLOOKUP(C43,'conferencia '!A:J,10,0)</f>
        <v>#N/A</v>
      </c>
      <c r="Q43" s="1" t="e">
        <f t="shared" si="38"/>
        <v>#N/A</v>
      </c>
      <c r="R43" s="1" t="e">
        <f>VLOOKUP(C43,'conferencia '!A:L,12,0)</f>
        <v>#N/A</v>
      </c>
      <c r="S43" s="1" t="e">
        <f t="shared" si="39"/>
        <v>#N/A</v>
      </c>
    </row>
    <row r="44" spans="2:19">
      <c r="B44" s="3"/>
      <c r="C44" s="6" t="s">
        <v>77</v>
      </c>
      <c r="D44" s="6" t="s">
        <v>74</v>
      </c>
      <c r="E44" s="20">
        <v>200</v>
      </c>
      <c r="F44" s="20">
        <v>1300</v>
      </c>
      <c r="G44" s="20">
        <v>1300</v>
      </c>
      <c r="H44" s="20">
        <v>1300</v>
      </c>
      <c r="I44" s="20">
        <v>1600</v>
      </c>
      <c r="J44" s="1">
        <f>VLOOKUP(C44,'conferencia '!A:D,4,0)</f>
        <v>200</v>
      </c>
      <c r="K44" s="1" t="b">
        <f t="shared" ref="K44" si="40">J44=E44</f>
        <v>1</v>
      </c>
      <c r="L44" s="1">
        <f>VLOOKUP(C44,'conferencia '!A:F,6,0)</f>
        <v>1300</v>
      </c>
      <c r="M44" s="1" t="b">
        <f t="shared" ref="M44" si="41">L44=F44</f>
        <v>1</v>
      </c>
      <c r="N44" s="1">
        <f>VLOOKUP(C44,'conferencia '!A:H,8,0)</f>
        <v>1300</v>
      </c>
      <c r="O44" s="1" t="b">
        <f t="shared" ref="O44" si="42">N44=G44</f>
        <v>1</v>
      </c>
      <c r="P44" s="1">
        <f>VLOOKUP(C44,'conferencia '!A:J,10,0)</f>
        <v>1300</v>
      </c>
      <c r="Q44" s="1" t="b">
        <f t="shared" ref="Q44" si="43">P44=H44</f>
        <v>1</v>
      </c>
      <c r="R44" s="1">
        <f>VLOOKUP(C44,'conferencia '!A:L,12,0)</f>
        <v>1600</v>
      </c>
      <c r="S44" s="1" t="b">
        <f t="shared" ref="S44" si="44">R44=I44</f>
        <v>1</v>
      </c>
    </row>
  </sheetData>
  <autoFilter ref="C7:S44" xr:uid="{00000000-0001-0000-0000-000000000000}"/>
  <sortState xmlns:xlrd2="http://schemas.microsoft.com/office/spreadsheetml/2017/richdata2" ref="C8:I29">
    <sortCondition ref="C8:C29"/>
  </sortState>
  <conditionalFormatting sqref="C5">
    <cfRule type="duplicateValues" dxfId="20" priority="8" stopIfTrue="1"/>
  </conditionalFormatting>
  <conditionalFormatting sqref="C5:C6">
    <cfRule type="duplicateValues" dxfId="19" priority="7"/>
  </conditionalFormatting>
  <conditionalFormatting sqref="C7">
    <cfRule type="duplicateValues" dxfId="18" priority="6" stopIfTrue="1"/>
    <cfRule type="duplicateValues" dxfId="17" priority="9"/>
  </conditionalFormatting>
  <conditionalFormatting sqref="C19">
    <cfRule type="duplicateValues" dxfId="16" priority="4"/>
    <cfRule type="duplicateValues" dxfId="15" priority="5" stopIfTrue="1"/>
  </conditionalFormatting>
  <conditionalFormatting sqref="C20:C28 C8:C18 C37:C44">
    <cfRule type="duplicateValues" dxfId="14" priority="236"/>
    <cfRule type="duplicateValues" dxfId="13" priority="237" stopIfTrue="1"/>
  </conditionalFormatting>
  <conditionalFormatting sqref="C29:C36">
    <cfRule type="duplicateValues" dxfId="12" priority="2" stopIfTrue="1"/>
    <cfRule type="duplicateValues" dxfId="11" priority="3"/>
  </conditionalFormatting>
  <conditionalFormatting sqref="C38:C44 C10:C11">
    <cfRule type="duplicateValues" dxfId="10" priority="12" stopIfTrue="1"/>
    <cfRule type="duplicateValues" dxfId="9" priority="13"/>
  </conditionalFormatting>
  <conditionalFormatting sqref="C45:C65493 C3:C4">
    <cfRule type="duplicateValues" dxfId="8" priority="214" stopIfTrue="1"/>
  </conditionalFormatting>
  <conditionalFormatting sqref="C45:C1048576 C3:C4">
    <cfRule type="duplicateValues" dxfId="7" priority="63"/>
  </conditionalFormatting>
  <conditionalFormatting sqref="J8:S44">
    <cfRule type="cellIs" dxfId="6" priority="1" operator="equal">
      <formula>FALSE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2"/>
  <sheetViews>
    <sheetView showGridLines="0" zoomScale="80" zoomScaleNormal="80" workbookViewId="0">
      <selection activeCell="L2" sqref="L2:L12"/>
    </sheetView>
  </sheetViews>
  <sheetFormatPr defaultRowHeight="15"/>
  <cols>
    <col min="1" max="1" width="43.140625" bestFit="1" customWidth="1"/>
    <col min="2" max="2" width="13" hidden="1" customWidth="1"/>
    <col min="3" max="3" width="0" hidden="1" customWidth="1"/>
    <col min="4" max="4" width="13" bestFit="1" customWidth="1"/>
    <col min="6" max="6" width="13" bestFit="1" customWidth="1"/>
    <col min="8" max="8" width="13" bestFit="1" customWidth="1"/>
    <col min="10" max="10" width="13" bestFit="1" customWidth="1"/>
    <col min="12" max="12" width="13" bestFit="1" customWidth="1"/>
  </cols>
  <sheetData>
    <row r="1" spans="1:12" ht="38.25">
      <c r="A1" t="s">
        <v>1</v>
      </c>
      <c r="B1" s="7" t="s">
        <v>14</v>
      </c>
      <c r="D1" s="7" t="s">
        <v>30</v>
      </c>
      <c r="F1" s="7" t="s">
        <v>31</v>
      </c>
      <c r="H1" s="7" t="s">
        <v>44</v>
      </c>
      <c r="J1" s="7" t="s">
        <v>32</v>
      </c>
      <c r="L1" s="7" t="s">
        <v>33</v>
      </c>
    </row>
    <row r="2" spans="1:12">
      <c r="A2" s="6" t="s">
        <v>26</v>
      </c>
      <c r="B2" s="8"/>
      <c r="D2" s="13">
        <v>100</v>
      </c>
      <c r="F2" s="14">
        <v>500</v>
      </c>
      <c r="H2" s="14">
        <v>550</v>
      </c>
      <c r="J2" s="14">
        <v>550</v>
      </c>
      <c r="L2" s="14">
        <v>600</v>
      </c>
    </row>
    <row r="3" spans="1:12">
      <c r="A3" s="6" t="s">
        <v>28</v>
      </c>
      <c r="B3" s="8"/>
      <c r="D3" s="13">
        <v>150</v>
      </c>
      <c r="F3" s="13">
        <v>500</v>
      </c>
      <c r="H3" s="13">
        <v>600</v>
      </c>
      <c r="J3" s="13">
        <v>600</v>
      </c>
      <c r="L3" s="13">
        <v>700</v>
      </c>
    </row>
    <row r="4" spans="1:12">
      <c r="A4" s="6" t="s">
        <v>42</v>
      </c>
      <c r="B4" s="8"/>
      <c r="D4" s="13">
        <v>150</v>
      </c>
      <c r="F4" s="13">
        <v>550</v>
      </c>
      <c r="H4" s="13">
        <v>700</v>
      </c>
      <c r="J4" s="13">
        <v>700</v>
      </c>
      <c r="L4" s="13">
        <v>750</v>
      </c>
    </row>
    <row r="5" spans="1:12">
      <c r="A5" s="6" t="s">
        <v>52</v>
      </c>
      <c r="B5" s="8"/>
      <c r="D5" s="13">
        <v>200</v>
      </c>
      <c r="F5" s="13">
        <v>1000</v>
      </c>
      <c r="H5" s="13">
        <v>1200</v>
      </c>
      <c r="J5" s="13">
        <v>1200</v>
      </c>
      <c r="L5" s="13">
        <v>1400</v>
      </c>
    </row>
    <row r="6" spans="1:12">
      <c r="A6" s="6" t="s">
        <v>20</v>
      </c>
      <c r="B6" s="8"/>
      <c r="D6" s="13">
        <v>200</v>
      </c>
      <c r="F6" s="13">
        <v>800</v>
      </c>
      <c r="H6" s="13">
        <v>850</v>
      </c>
      <c r="J6" s="13">
        <v>850</v>
      </c>
      <c r="L6" s="13">
        <v>1100</v>
      </c>
    </row>
    <row r="7" spans="1:12">
      <c r="A7" s="6" t="s">
        <v>21</v>
      </c>
      <c r="B7" s="8"/>
      <c r="D7" s="13">
        <v>200</v>
      </c>
      <c r="F7" s="13">
        <v>700</v>
      </c>
      <c r="H7" s="13">
        <v>900</v>
      </c>
      <c r="J7" s="13">
        <v>900</v>
      </c>
      <c r="L7" s="13">
        <v>1200</v>
      </c>
    </row>
    <row r="8" spans="1:12">
      <c r="A8" s="6" t="s">
        <v>47</v>
      </c>
      <c r="B8" s="8"/>
      <c r="D8" s="13">
        <v>150</v>
      </c>
      <c r="F8" s="13">
        <v>700</v>
      </c>
      <c r="H8" s="13">
        <v>900</v>
      </c>
      <c r="J8" s="13">
        <v>900</v>
      </c>
      <c r="L8" s="13">
        <v>1300</v>
      </c>
    </row>
    <row r="9" spans="1:12">
      <c r="A9" s="6" t="s">
        <v>49</v>
      </c>
      <c r="B9" s="8"/>
      <c r="D9" s="13">
        <v>200</v>
      </c>
      <c r="F9" s="13">
        <v>800</v>
      </c>
      <c r="H9" s="13">
        <v>900</v>
      </c>
      <c r="J9" s="13">
        <v>900</v>
      </c>
      <c r="L9" s="13">
        <v>1300</v>
      </c>
    </row>
    <row r="10" spans="1:12">
      <c r="A10" s="6" t="s">
        <v>51</v>
      </c>
      <c r="B10" s="8"/>
      <c r="D10" s="13">
        <v>200</v>
      </c>
      <c r="F10" s="13">
        <v>900</v>
      </c>
      <c r="H10" s="13">
        <v>1000</v>
      </c>
      <c r="J10" s="13">
        <v>1000</v>
      </c>
      <c r="L10" s="13">
        <v>1200</v>
      </c>
    </row>
    <row r="11" spans="1:12">
      <c r="A11" s="6" t="s">
        <v>78</v>
      </c>
      <c r="B11" s="8"/>
      <c r="D11" s="13">
        <v>200</v>
      </c>
      <c r="F11" s="13">
        <v>1200</v>
      </c>
      <c r="H11" s="13">
        <v>1400</v>
      </c>
      <c r="J11" s="13">
        <v>1400</v>
      </c>
      <c r="L11" s="13">
        <v>1500</v>
      </c>
    </row>
    <row r="12" spans="1:12">
      <c r="A12" s="6" t="s">
        <v>77</v>
      </c>
      <c r="B12" s="8"/>
      <c r="D12" s="13">
        <v>200</v>
      </c>
      <c r="F12" s="13">
        <v>1300</v>
      </c>
      <c r="H12" s="13">
        <v>1300</v>
      </c>
      <c r="J12" s="13">
        <v>1300</v>
      </c>
      <c r="L12" s="13">
        <v>1600</v>
      </c>
    </row>
    <row r="13" spans="1:12">
      <c r="A13" s="6"/>
      <c r="B13" s="8"/>
      <c r="D13" s="13"/>
      <c r="F13" s="13"/>
      <c r="H13" s="13"/>
      <c r="J13" s="13"/>
      <c r="L13" s="13"/>
    </row>
    <row r="14" spans="1:12">
      <c r="A14" s="6"/>
      <c r="B14" s="8"/>
      <c r="D14" s="13"/>
      <c r="F14" s="13"/>
      <c r="H14" s="13"/>
      <c r="J14" s="13"/>
      <c r="L14" s="13"/>
    </row>
    <row r="15" spans="1:12">
      <c r="A15" s="6"/>
      <c r="B15" s="8"/>
      <c r="D15" s="13"/>
      <c r="F15" s="13"/>
      <c r="H15" s="13"/>
      <c r="J15" s="13"/>
      <c r="L15" s="13"/>
    </row>
    <row r="16" spans="1:12">
      <c r="A16" s="6"/>
      <c r="B16" s="8"/>
      <c r="D16" s="13"/>
      <c r="F16" s="13"/>
      <c r="H16" s="13"/>
      <c r="J16" s="13"/>
      <c r="L16" s="13"/>
    </row>
    <row r="17" spans="1:12">
      <c r="A17" s="6"/>
      <c r="B17" s="8"/>
      <c r="D17" s="13"/>
      <c r="F17" s="13"/>
      <c r="H17" s="13"/>
      <c r="J17" s="13"/>
      <c r="L17" s="13"/>
    </row>
    <row r="18" spans="1:12">
      <c r="A18" s="6"/>
      <c r="B18" s="8"/>
      <c r="D18" s="13"/>
      <c r="F18" s="13"/>
      <c r="H18" s="13"/>
      <c r="J18" s="13"/>
      <c r="L18" s="13"/>
    </row>
    <row r="19" spans="1:12">
      <c r="A19" s="6"/>
      <c r="B19" s="8"/>
      <c r="D19" s="13"/>
      <c r="F19" s="13"/>
      <c r="H19" s="13"/>
      <c r="J19" s="13"/>
      <c r="L19" s="13"/>
    </row>
    <row r="20" spans="1:12">
      <c r="A20" s="6"/>
      <c r="B20" s="8"/>
      <c r="D20" s="13"/>
      <c r="F20" s="13"/>
      <c r="H20" s="13"/>
      <c r="J20" s="13"/>
      <c r="L20" s="13"/>
    </row>
    <row r="21" spans="1:12">
      <c r="A21" s="6"/>
      <c r="B21" s="8"/>
      <c r="D21" s="13"/>
      <c r="F21" s="13"/>
      <c r="H21" s="13"/>
      <c r="J21" s="13"/>
      <c r="L21" s="13"/>
    </row>
    <row r="22" spans="1:12">
      <c r="A22" s="6"/>
      <c r="B22" s="8"/>
      <c r="D22" s="8"/>
      <c r="F22" s="8"/>
      <c r="H22" s="8"/>
      <c r="J22" s="8"/>
      <c r="L22" s="8"/>
    </row>
    <row r="23" spans="1:12">
      <c r="A23" s="6"/>
      <c r="B23" s="8"/>
      <c r="D23" s="8"/>
      <c r="F23" s="8"/>
      <c r="H23" s="8"/>
      <c r="J23" s="8"/>
      <c r="L23" s="8"/>
    </row>
    <row r="24" spans="1:12">
      <c r="A24" s="6"/>
      <c r="B24" s="8"/>
      <c r="D24" s="8"/>
      <c r="F24" s="8"/>
      <c r="H24" s="8"/>
      <c r="J24" s="8"/>
      <c r="L24" s="8"/>
    </row>
    <row r="25" spans="1:12">
      <c r="A25" s="6"/>
      <c r="B25" s="8"/>
      <c r="D25" s="8"/>
      <c r="F25" s="8"/>
      <c r="H25" s="8"/>
      <c r="J25" s="8"/>
      <c r="L25" s="8"/>
    </row>
    <row r="26" spans="1:12">
      <c r="A26" s="6"/>
      <c r="B26" s="8"/>
      <c r="D26" s="8"/>
      <c r="F26" s="8"/>
      <c r="H26" s="8"/>
      <c r="J26" s="8"/>
      <c r="L26" s="8"/>
    </row>
    <row r="27" spans="1:12">
      <c r="A27" s="6"/>
      <c r="B27" s="8"/>
      <c r="D27" s="8"/>
      <c r="F27" s="8"/>
      <c r="H27" s="8"/>
      <c r="J27" s="8"/>
      <c r="L27" s="8"/>
    </row>
    <row r="28" spans="1:12">
      <c r="A28" s="6"/>
      <c r="B28" s="8"/>
      <c r="D28" s="8"/>
      <c r="F28" s="8"/>
      <c r="H28" s="8"/>
      <c r="J28" s="8"/>
      <c r="L28" s="8"/>
    </row>
    <row r="29" spans="1:12">
      <c r="A29" s="6"/>
      <c r="B29" s="8"/>
      <c r="D29" s="8"/>
      <c r="F29" s="8"/>
      <c r="H29" s="8"/>
      <c r="J29" s="8"/>
      <c r="L29" s="8"/>
    </row>
    <row r="30" spans="1:12">
      <c r="A30" s="6"/>
      <c r="B30" s="8"/>
      <c r="D30" s="8"/>
      <c r="F30" s="8"/>
      <c r="H30" s="8"/>
      <c r="J30" s="8"/>
      <c r="L30" s="8"/>
    </row>
    <row r="31" spans="1:12">
      <c r="A31" s="6"/>
      <c r="B31" s="8"/>
      <c r="D31" s="8"/>
      <c r="F31" s="8"/>
      <c r="H31" s="8"/>
      <c r="J31" s="8"/>
      <c r="L31" s="8"/>
    </row>
    <row r="32" spans="1:12">
      <c r="A32" s="6"/>
      <c r="B32" s="8"/>
      <c r="D32" s="8"/>
      <c r="F32" s="8"/>
      <c r="H32" s="8"/>
      <c r="J32" s="8"/>
      <c r="L32" s="8"/>
    </row>
  </sheetData>
  <autoFilter ref="A1:L30" xr:uid="{00000000-0009-0000-0000-000001000000}"/>
  <conditionalFormatting sqref="A2:A21">
    <cfRule type="duplicateValues" dxfId="5" priority="1" stopIfTrue="1"/>
    <cfRule type="duplicateValues" dxfId="4" priority="2"/>
  </conditionalFormatting>
  <conditionalFormatting sqref="A22:A23">
    <cfRule type="duplicateValues" dxfId="3" priority="3" stopIfTrue="1"/>
    <cfRule type="duplicateValues" dxfId="2" priority="4"/>
  </conditionalFormatting>
  <conditionalFormatting sqref="A24:A32">
    <cfRule type="duplicateValues" dxfId="1" priority="9" stopIfTrue="1"/>
    <cfRule type="duplicateValues" dxfId="0" priority="10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DE SUBSÍDIO CLARO</vt:lpstr>
      <vt:lpstr>conferencia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DANILO CAVALCANTE</cp:lastModifiedBy>
  <dcterms:created xsi:type="dcterms:W3CDTF">2018-02-02T17:12:49Z</dcterms:created>
  <dcterms:modified xsi:type="dcterms:W3CDTF">2026-01-09T11:55:53Z</dcterms:modified>
</cp:coreProperties>
</file>